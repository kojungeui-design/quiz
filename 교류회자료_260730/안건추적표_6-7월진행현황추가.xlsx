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580" yWindow="1310" windowWidth="16410" windowHeight="20970" tabRatio="600" firstSheet="1" activeTab="1" autoFilterDateGrouping="1"/>
  </bookViews>
  <sheets>
    <sheet xmlns:r="http://schemas.openxmlformats.org/officeDocument/2006/relationships" name="일정관리 대시보드" sheetId="1" state="visible" r:id="rId1"/>
    <sheet xmlns:r="http://schemas.openxmlformats.org/officeDocument/2006/relationships" name="전체 안건 추적표" sheetId="2" state="visible" r:id="rId2"/>
    <sheet xmlns:r="http://schemas.openxmlformats.org/officeDocument/2006/relationships" name="5월 이후 액션 아이템" sheetId="3" state="visible" r:id="rId3"/>
    <sheet xmlns:r="http://schemas.openxmlformats.org/officeDocument/2006/relationships" name="지연 안건 상세" sheetId="4" state="visible" r:id="rId4"/>
    <sheet xmlns:r="http://schemas.openxmlformats.org/officeDocument/2006/relationships" name="5월 누락 미반영 요약" sheetId="5" state="visible" r:id="rId5"/>
    <sheet xmlns:r="http://schemas.openxmlformats.org/officeDocument/2006/relationships" name="대시보드" sheetId="6" state="hidden" r:id="rId6"/>
    <sheet xmlns:r="http://schemas.openxmlformats.org/officeDocument/2006/relationships" name="저비중 SG6→SG8 변경 검토" sheetId="7" state="visible" r:id="rId7"/>
  </sheets>
  <definedNames>
    <definedName name="_xlnm._FilterDatabase" localSheetId="2" hidden="1">'5월 이후 액션 아이템'!$A$3:$H$26</definedName>
    <definedName name="_xlnm._FilterDatabase" localSheetId="6" hidden="1">'저비중 SG6→SG8 변경 검토'!$A$3:$I$4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9">
    <font>
      <name val="맑은 고딕"/>
      <family val="2"/>
      <color theme="1"/>
      <sz val="11"/>
      <scheme val="minor"/>
    </font>
    <font>
      <name val="세방고딕 Regular"/>
      <charset val="129"/>
      <family val="3"/>
      <b val="1"/>
      <sz val="14"/>
    </font>
    <font>
      <name val="세방고딕 Regular"/>
      <charset val="129"/>
      <family val="3"/>
      <color theme="1"/>
      <sz val="11"/>
    </font>
    <font>
      <name val="세방고딕 Regular"/>
      <charset val="129"/>
      <family val="3"/>
      <color rgb="FF666666"/>
      <sz val="9"/>
    </font>
    <font>
      <name val="세방고딕 Regular"/>
      <charset val="129"/>
      <family val="3"/>
      <b val="1"/>
      <color rgb="FFFFFFFF"/>
      <sz val="10"/>
    </font>
    <font>
      <name val="세방고딕 Regular"/>
      <charset val="129"/>
      <family val="3"/>
      <sz val="10"/>
    </font>
    <font>
      <name val="세방고딕 Regular"/>
      <charset val="129"/>
      <family val="3"/>
      <b val="1"/>
      <color rgb="FFCC0000"/>
      <sz val="10"/>
    </font>
    <font>
      <name val="맑은 고딕"/>
      <charset val="129"/>
      <family val="3"/>
      <sz val="8"/>
      <scheme val="minor"/>
    </font>
    <font>
      <name val="세방고딕 Regular"/>
      <charset val="129"/>
      <family val="3"/>
      <b val="1"/>
      <color rgb="FFFF0000"/>
      <sz val="10"/>
    </font>
    <font>
      <name val="세방고딕 Regular"/>
      <charset val="129"/>
      <family val="3"/>
      <b val="1"/>
      <color rgb="FFFFFFFF"/>
      <sz val="18"/>
    </font>
    <font>
      <name val="세방고딕 Regular"/>
      <charset val="129"/>
      <family val="3"/>
      <color rgb="FF666666"/>
      <sz val="10"/>
    </font>
    <font>
      <name val="세방고딕 Regular"/>
      <charset val="129"/>
      <family val="3"/>
      <b val="1"/>
      <color rgb="FFFFFFFF"/>
      <sz val="11"/>
    </font>
    <font>
      <name val="세방고딕 Regular"/>
      <charset val="129"/>
      <family val="3"/>
      <b val="1"/>
      <color rgb="FF000000"/>
      <sz val="11"/>
    </font>
    <font>
      <name val="세방고딕 Regular"/>
      <charset val="129"/>
      <family val="3"/>
      <b val="1"/>
      <color theme="1"/>
      <sz val="11"/>
    </font>
    <font>
      <name val="세방고딕 Regular"/>
      <charset val="129"/>
      <family val="3"/>
      <b val="1"/>
      <color rgb="FF2F5496"/>
      <sz val="12"/>
    </font>
    <font>
      <name val="세방고딕 Regular"/>
      <charset val="129"/>
      <family val="3"/>
      <b val="1"/>
      <color rgb="FF9C0006"/>
      <sz val="11"/>
    </font>
    <font>
      <name val="세방고딕 Regular"/>
      <charset val="129"/>
      <family val="3"/>
      <b val="1"/>
      <color rgb="FFC00000"/>
      <sz val="12"/>
    </font>
    <font>
      <name val="세방고딕 Regular"/>
      <charset val="129"/>
      <family val="3"/>
      <color theme="1"/>
      <sz val="9"/>
    </font>
    <font>
      <name val="세방고딕 Regular"/>
      <charset val="129"/>
      <family val="3"/>
      <color theme="1"/>
      <sz val="10"/>
    </font>
    <font>
      <name val="세방고딕 Regular"/>
      <charset val="129"/>
      <family val="3"/>
      <color rgb="FF1F2937"/>
      <sz val="10"/>
    </font>
    <font>
      <name val="세방고딕 Regular"/>
      <charset val="129"/>
      <family val="3"/>
      <b val="1"/>
      <color rgb="FFFFFFFF"/>
      <sz val="20"/>
    </font>
    <font>
      <name val="세방고딕 Regular"/>
      <charset val="129"/>
      <family val="3"/>
      <b val="1"/>
      <color rgb="FF375623"/>
      <sz val="18"/>
    </font>
    <font>
      <name val="세방고딕 Regular"/>
      <charset val="129"/>
      <family val="3"/>
      <b val="1"/>
      <color rgb="FF806000"/>
      <sz val="18"/>
    </font>
    <font>
      <name val="세방고딕 Regular"/>
      <charset val="129"/>
      <family val="3"/>
      <b val="1"/>
      <color rgb="FF9C0006"/>
      <sz val="18"/>
    </font>
    <font>
      <name val="세방고딕 Regular"/>
      <charset val="129"/>
      <family val="3"/>
      <b val="1"/>
      <color rgb="FF1F3864"/>
      <sz val="18"/>
    </font>
    <font>
      <name val="세방고딕 Regular"/>
      <charset val="129"/>
      <family val="3"/>
      <color rgb="FFFFFFFF"/>
      <sz val="10"/>
    </font>
    <font>
      <name val="세방고딕 Regular"/>
      <charset val="129"/>
      <family val="3"/>
      <b val="1"/>
      <color rgb="FF2F75B5"/>
      <sz val="12"/>
    </font>
    <font>
      <name val="세방고딕 Regular"/>
      <charset val="129"/>
      <family val="3"/>
      <b val="1"/>
      <color rgb="FF70AD47"/>
      <sz val="12"/>
    </font>
    <font>
      <name val="세방고딕 Regular"/>
      <charset val="129"/>
      <family val="3"/>
      <b val="1"/>
      <color rgb="FF7030A0"/>
      <sz val="12"/>
    </font>
    <font>
      <name val="세방고딕 Regular"/>
      <charset val="129"/>
      <family val="3"/>
      <b val="1"/>
      <color rgb="FF2F75B5"/>
      <sz val="24"/>
    </font>
    <font>
      <name val="세방고딕 Regular"/>
      <charset val="129"/>
      <family val="3"/>
      <b val="1"/>
      <color rgb="FF70AD47"/>
      <sz val="24"/>
    </font>
    <font>
      <name val="세방고딕 Regular"/>
      <charset val="129"/>
      <family val="3"/>
      <b val="1"/>
      <color rgb="FFC00000"/>
      <sz val="24"/>
    </font>
    <font>
      <name val="세방고딕 Regular"/>
      <charset val="129"/>
      <family val="3"/>
      <b val="1"/>
      <color rgb="FF7030A0"/>
      <sz val="24"/>
    </font>
    <font>
      <name val="세방고딕 Regular"/>
      <charset val="129"/>
      <family val="3"/>
      <b val="1"/>
      <color rgb="FFFFFFFF"/>
      <sz val="12"/>
    </font>
    <font>
      <name val="세방고딕 Regular"/>
      <charset val="129"/>
      <family val="3"/>
      <b val="1"/>
      <color rgb="FF7F1D1D"/>
      <sz val="10"/>
    </font>
    <font>
      <name val="세방고딕 Regular"/>
      <charset val="129"/>
      <family val="3"/>
      <color rgb="FF1F2937"/>
      <sz val="9"/>
    </font>
    <font>
      <name val="세방고딕 Regular"/>
      <charset val="129"/>
      <family val="3"/>
      <b val="1"/>
      <color rgb="FF1F4E79"/>
      <sz val="10"/>
    </font>
    <font>
      <name val="세방고딕 Regular"/>
      <charset val="129"/>
      <family val="3"/>
      <b val="1"/>
      <color rgb="FF2F5597"/>
      <sz val="11"/>
    </font>
    <font>
      <name val="세방고딕 Regular"/>
      <charset val="129"/>
      <family val="3"/>
      <b val="1"/>
      <color rgb="FF70AD47"/>
      <sz val="10"/>
    </font>
    <font>
      <name val="세방고딕 Regular"/>
      <charset val="129"/>
      <family val="3"/>
      <b val="1"/>
      <color rgb="FF2F75B5"/>
      <sz val="10"/>
    </font>
    <font>
      <name val="세방고딕 Regular"/>
      <charset val="129"/>
      <family val="3"/>
      <b val="1"/>
      <color rgb="FFC00000"/>
      <sz val="10"/>
    </font>
    <font>
      <name val="세방고딕 Regular"/>
      <charset val="129"/>
      <family val="3"/>
      <b val="1"/>
      <color rgb="FF7030A0"/>
      <sz val="10"/>
    </font>
    <font>
      <name val="세방고딕 OTF Regular"/>
      <charset val="129"/>
      <family val="3"/>
      <b val="1"/>
      <color rgb="FF000000"/>
      <sz val="15"/>
    </font>
    <font>
      <name val="세방고딕 OTF Regular"/>
      <charset val="129"/>
      <family val="3"/>
      <color rgb="FF000000"/>
      <sz val="10"/>
    </font>
    <font>
      <name val="세방고딕 Regular"/>
      <charset val="129"/>
      <family val="3"/>
      <color rgb="FF000000"/>
      <sz val="10"/>
    </font>
    <font>
      <name val="세방고딕 Regular"/>
      <charset val="129"/>
      <family val="3"/>
      <color rgb="FFFF0000"/>
      <sz val="10"/>
    </font>
    <font>
      <name val="세방고딕 Regular"/>
      <b val="1"/>
      <color rgb="FFFFFFFF"/>
      <sz val="10"/>
    </font>
    <font>
      <name val="세방고딕 Regular"/>
      <i val="1"/>
      <color rgb="FF999999"/>
      <sz val="9"/>
    </font>
    <font>
      <name val="세방고딕 Regular"/>
      <sz val="10"/>
    </font>
  </fonts>
  <fills count="29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D699"/>
        <bgColor rgb="FFFFD699"/>
      </patternFill>
    </fill>
    <fill>
      <patternFill patternType="solid">
        <fgColor rgb="FFB8CCE4"/>
        <bgColor rgb="FFB8CCE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2F5496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ck">
        <color rgb="FF17365D"/>
      </top>
      <bottom/>
      <diagonal/>
    </border>
    <border>
      <left/>
      <right/>
      <top style="thick">
        <color rgb="FF17365D"/>
      </top>
      <bottom style="thick">
        <color rgb="FF17365D"/>
      </bottom>
      <diagonal/>
    </border>
    <border>
      <left style="thick">
        <color rgb="FF17365D"/>
      </left>
      <right/>
      <top style="thick">
        <color rgb="FF17365D"/>
      </top>
      <bottom style="thick">
        <color rgb="FF17365D"/>
      </bottom>
      <diagonal/>
    </border>
    <border>
      <left style="thick">
        <color rgb="FF17365D"/>
      </left>
      <right/>
      <top style="thick">
        <color rgb="FF17365D"/>
      </top>
      <bottom/>
      <diagonal/>
    </border>
    <border>
      <left/>
      <right style="thick">
        <color rgb="FF17365D"/>
      </right>
      <top style="thick">
        <color rgb="FF17365D"/>
      </top>
      <bottom/>
      <diagonal/>
    </border>
    <border>
      <left/>
      <right/>
      <top style="thick">
        <color rgb="FF2F75B5"/>
      </top>
      <bottom/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 style="thick">
        <color rgb="FF2F75B5"/>
      </top>
      <bottom/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 style="thick">
        <color rgb="FF70AD47"/>
      </top>
      <bottom/>
      <diagonal/>
    </border>
    <border>
      <left/>
      <right/>
      <top style="thick">
        <color rgb="FF70AD47"/>
      </top>
      <bottom/>
      <diagonal/>
    </border>
    <border>
      <left style="thin">
        <color rgb="FFD9E2F3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n">
        <color rgb="FFD9E2F3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n">
        <color rgb="FFD9E2F3"/>
      </right>
      <top style="thick">
        <color rgb="FF7030A0"/>
      </top>
      <bottom/>
      <diagonal/>
    </border>
    <border>
      <left/>
      <right/>
      <top style="medium">
        <color rgb="FF17365D"/>
      </top>
      <bottom/>
      <diagonal/>
    </border>
    <border>
      <left/>
      <right/>
      <top style="medium">
        <color rgb="FFC00000"/>
      </top>
      <bottom/>
      <diagonal/>
    </border>
    <border>
      <left/>
      <right/>
      <top/>
      <bottom style="thin">
        <color rgb="FFE5E7EB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/>
      <top style="thin">
        <color rgb="FF9DC3E6"/>
      </top>
      <bottom/>
      <diagonal/>
    </border>
    <border>
      <left/>
      <right/>
      <top/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/>
      <top/>
      <bottom/>
      <diagonal/>
    </border>
    <border>
      <left style="thin">
        <color rgb="FF9DC3E6"/>
      </left>
      <right/>
      <top/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 style="thin">
        <color rgb="FF9DC3E6"/>
      </right>
      <top/>
      <bottom/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/>
      <right style="thick">
        <color rgb="FF17365D"/>
      </right>
      <top style="thick">
        <color rgb="FF17365D"/>
      </top>
      <bottom style="thick">
        <color rgb="FF17365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 style="thick">
        <color rgb="FF17365D"/>
      </top>
      <bottom style="thick">
        <color rgb="FF17365D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  <border>
      <left style="thin">
        <color rgb="FF9DC3E6"/>
      </left>
      <right style="thin">
        <color rgb="FF9DC3E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8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1" fillId="15" borderId="3" applyAlignment="1" pivotButton="0" quotePrefix="0" xfId="0">
      <alignment horizontal="center" vertical="center"/>
    </xf>
    <xf numFmtId="0" fontId="11" fillId="15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11" fillId="16" borderId="3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8" fillId="0" borderId="0" pivotButton="0" quotePrefix="0" xfId="0"/>
    <xf numFmtId="0" fontId="9" fillId="10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9" fillId="17" borderId="0" applyAlignment="1" pivotButton="0" quotePrefix="0" xfId="0">
      <alignment horizontal="center"/>
    </xf>
    <xf numFmtId="0" fontId="26" fillId="9" borderId="0" applyAlignment="1" pivotButton="0" quotePrefix="0" xfId="0">
      <alignment horizontal="center"/>
    </xf>
    <xf numFmtId="0" fontId="26" fillId="9" borderId="9" applyAlignment="1" pivotButton="0" quotePrefix="0" xfId="0">
      <alignment horizontal="center"/>
    </xf>
    <xf numFmtId="0" fontId="26" fillId="9" borderId="10" applyAlignment="1" pivotButton="0" quotePrefix="0" xfId="0">
      <alignment horizontal="center"/>
    </xf>
    <xf numFmtId="0" fontId="26" fillId="9" borderId="11" applyAlignment="1" pivotButton="0" quotePrefix="0" xfId="0">
      <alignment horizontal="center"/>
    </xf>
    <xf numFmtId="0" fontId="26" fillId="9" borderId="12" applyAlignment="1" pivotButton="0" quotePrefix="0" xfId="0">
      <alignment horizontal="center"/>
    </xf>
    <xf numFmtId="0" fontId="26" fillId="9" borderId="13" applyAlignment="1" pivotButton="0" quotePrefix="0" xfId="0">
      <alignment horizontal="center"/>
    </xf>
    <xf numFmtId="164" fontId="27" fillId="9" borderId="12" applyAlignment="1" pivotButton="0" quotePrefix="0" xfId="0">
      <alignment horizontal="center"/>
    </xf>
    <xf numFmtId="164" fontId="27" fillId="9" borderId="0" applyAlignment="1" pivotButton="0" quotePrefix="0" xfId="0">
      <alignment horizontal="center"/>
    </xf>
    <xf numFmtId="164" fontId="27" fillId="9" borderId="16" applyAlignment="1" pivotButton="0" quotePrefix="0" xfId="0">
      <alignment horizontal="center"/>
    </xf>
    <xf numFmtId="164" fontId="27" fillId="9" borderId="17" applyAlignment="1" pivotButton="0" quotePrefix="0" xfId="0">
      <alignment horizontal="center"/>
    </xf>
    <xf numFmtId="164" fontId="27" fillId="9" borderId="13" applyAlignment="1" pivotButton="0" quotePrefix="0" xfId="0">
      <alignment horizontal="center"/>
    </xf>
    <xf numFmtId="164" fontId="27" fillId="9" borderId="10" applyAlignment="1" pivotButton="0" quotePrefix="0" xfId="0">
      <alignment horizontal="center"/>
    </xf>
    <xf numFmtId="1" fontId="16" fillId="9" borderId="12" applyAlignment="1" pivotButton="0" quotePrefix="0" xfId="0">
      <alignment horizontal="center"/>
    </xf>
    <xf numFmtId="1" fontId="16" fillId="9" borderId="0" applyAlignment="1" pivotButton="0" quotePrefix="0" xfId="0">
      <alignment horizontal="center"/>
    </xf>
    <xf numFmtId="1" fontId="16" fillId="9" borderId="18" applyAlignment="1" pivotButton="0" quotePrefix="0" xfId="0">
      <alignment horizontal="center"/>
    </xf>
    <xf numFmtId="1" fontId="16" fillId="9" borderId="19" applyAlignment="1" pivotButton="0" quotePrefix="0" xfId="0">
      <alignment horizontal="center"/>
    </xf>
    <xf numFmtId="1" fontId="16" fillId="9" borderId="13" applyAlignment="1" pivotButton="0" quotePrefix="0" xfId="0">
      <alignment horizontal="center"/>
    </xf>
    <xf numFmtId="1" fontId="16" fillId="9" borderId="10" applyAlignment="1" pivotButton="0" quotePrefix="0" xfId="0">
      <alignment horizontal="center"/>
    </xf>
    <xf numFmtId="164" fontId="28" fillId="9" borderId="12" applyAlignment="1" pivotButton="0" quotePrefix="0" xfId="0">
      <alignment horizontal="center"/>
    </xf>
    <xf numFmtId="164" fontId="28" fillId="9" borderId="0" applyAlignment="1" pivotButton="0" quotePrefix="0" xfId="0">
      <alignment horizontal="center"/>
    </xf>
    <xf numFmtId="164" fontId="28" fillId="9" borderId="20" applyAlignment="1" pivotButton="0" quotePrefix="0" xfId="0">
      <alignment horizontal="center"/>
    </xf>
    <xf numFmtId="164" fontId="28" fillId="9" borderId="21" applyAlignment="1" pivotButton="0" quotePrefix="0" xfId="0">
      <alignment horizontal="center"/>
    </xf>
    <xf numFmtId="164" fontId="28" fillId="9" borderId="13" applyAlignment="1" pivotButton="0" quotePrefix="0" xfId="0">
      <alignment horizontal="center"/>
    </xf>
    <xf numFmtId="164" fontId="28" fillId="9" borderId="10" applyAlignment="1" pivotButton="0" quotePrefix="0" xfId="0">
      <alignment horizontal="center"/>
    </xf>
    <xf numFmtId="164" fontId="28" fillId="9" borderId="22" applyAlignment="1" pivotButton="0" quotePrefix="0" xfId="0">
      <alignment horizontal="center"/>
    </xf>
    <xf numFmtId="164" fontId="28" fillId="9" borderId="14" applyAlignment="1" pivotButton="0" quotePrefix="0" xfId="0">
      <alignment horizontal="center"/>
    </xf>
    <xf numFmtId="164" fontId="28" fillId="9" borderId="15" applyAlignment="1" pivotButton="0" quotePrefix="0" xfId="0">
      <alignment horizontal="center"/>
    </xf>
    <xf numFmtId="1" fontId="29" fillId="9" borderId="12" applyAlignment="1" pivotButton="0" quotePrefix="0" xfId="0">
      <alignment horizontal="center"/>
    </xf>
    <xf numFmtId="164" fontId="30" fillId="9" borderId="12" applyAlignment="1" pivotButton="0" quotePrefix="0" xfId="0">
      <alignment horizontal="center"/>
    </xf>
    <xf numFmtId="1" fontId="31" fillId="9" borderId="12" applyAlignment="1" pivotButton="0" quotePrefix="0" xfId="0">
      <alignment horizontal="center"/>
    </xf>
    <xf numFmtId="164" fontId="32" fillId="9" borderId="12" applyAlignment="1" pivotButton="0" quotePrefix="0" xfId="0">
      <alignment horizontal="center"/>
    </xf>
    <xf numFmtId="0" fontId="35" fillId="9" borderId="0" applyAlignment="1" pivotButton="0" quotePrefix="0" xfId="0">
      <alignment horizontal="left"/>
    </xf>
    <xf numFmtId="0" fontId="35" fillId="9" borderId="25" applyAlignment="1" pivotButton="0" quotePrefix="0" xfId="0">
      <alignment horizontal="left"/>
    </xf>
    <xf numFmtId="0" fontId="35" fillId="9" borderId="26" applyAlignment="1" pivotButton="0" quotePrefix="0" xfId="0">
      <alignment horizontal="left"/>
    </xf>
    <xf numFmtId="0" fontId="35" fillId="9" borderId="27" applyAlignment="1" pivotButton="0" quotePrefix="0" xfId="0">
      <alignment horizontal="left"/>
    </xf>
    <xf numFmtId="0" fontId="35" fillId="9" borderId="28" applyAlignment="1" pivotButton="0" quotePrefix="0" xfId="0">
      <alignment horizontal="left"/>
    </xf>
    <xf numFmtId="0" fontId="35" fillId="9" borderId="29" applyAlignment="1" pivotButton="0" quotePrefix="0" xfId="0">
      <alignment horizontal="left"/>
    </xf>
    <xf numFmtId="0" fontId="34" fillId="19" borderId="1" applyAlignment="1" pivotButton="0" quotePrefix="0" xfId="0">
      <alignment horizontal="center" vertical="center"/>
    </xf>
    <xf numFmtId="0" fontId="35" fillId="9" borderId="1" applyAlignment="1" pivotButton="0" quotePrefix="0" xfId="0">
      <alignment horizontal="left" vertical="center"/>
    </xf>
    <xf numFmtId="0" fontId="19" fillId="17" borderId="0" applyAlignment="1" pivotButton="0" quotePrefix="0" xfId="0">
      <alignment horizontal="center" vertical="center"/>
    </xf>
    <xf numFmtId="0" fontId="36" fillId="21" borderId="1" applyAlignment="1" pivotButton="0" quotePrefix="0" xfId="0">
      <alignment horizontal="center" vertical="center"/>
    </xf>
    <xf numFmtId="0" fontId="35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/>
    </xf>
    <xf numFmtId="164" fontId="19" fillId="9" borderId="1" applyAlignment="1" pivotButton="0" quotePrefix="0" xfId="0">
      <alignment horizontal="center"/>
    </xf>
    <xf numFmtId="0" fontId="38" fillId="9" borderId="1" applyAlignment="1" pivotButton="0" quotePrefix="0" xfId="0">
      <alignment horizontal="center"/>
    </xf>
    <xf numFmtId="1" fontId="19" fillId="9" borderId="1" applyAlignment="1" pivotButton="0" quotePrefix="0" xfId="0">
      <alignment horizontal="center"/>
    </xf>
    <xf numFmtId="0" fontId="39" fillId="9" borderId="1" applyAlignment="1" pivotButton="0" quotePrefix="0" xfId="0">
      <alignment horizontal="center"/>
    </xf>
    <xf numFmtId="0" fontId="39" fillId="9" borderId="1" applyAlignment="1" pivotButton="0" quotePrefix="0" xfId="0">
      <alignment horizontal="left"/>
    </xf>
    <xf numFmtId="0" fontId="38" fillId="9" borderId="1" applyAlignment="1" pivotButton="0" quotePrefix="0" xfId="0">
      <alignment horizontal="left"/>
    </xf>
    <xf numFmtId="0" fontId="40" fillId="9" borderId="1" applyAlignment="1" pivotButton="0" quotePrefix="0" xfId="0">
      <alignment horizontal="left"/>
    </xf>
    <xf numFmtId="0" fontId="41" fillId="9" borderId="1" applyAlignment="1" pivotButton="0" quotePrefix="0" xfId="0">
      <alignment horizontal="left"/>
    </xf>
    <xf numFmtId="0" fontId="0" fillId="0" borderId="0" applyAlignment="1" pivotButton="0" quotePrefix="1" xfId="0">
      <alignment horizontal="left" wrapText="1"/>
    </xf>
    <xf numFmtId="0" fontId="43" fillId="0" borderId="0" applyAlignment="1" pivotButton="0" quotePrefix="0" xfId="0">
      <alignment horizontal="center" vertical="center"/>
    </xf>
    <xf numFmtId="0" fontId="43" fillId="23" borderId="4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3" fillId="23" borderId="43" applyAlignment="1" pivotButton="0" quotePrefix="0" xfId="0">
      <alignment vertical="center"/>
    </xf>
    <xf numFmtId="0" fontId="43" fillId="0" borderId="43" applyAlignment="1" pivotButton="0" quotePrefix="0" xfId="0">
      <alignment vertical="center"/>
    </xf>
    <xf numFmtId="3" fontId="43" fillId="0" borderId="43" applyAlignment="1" pivotButton="0" quotePrefix="0" xfId="0">
      <alignment vertical="center"/>
    </xf>
    <xf numFmtId="0" fontId="43" fillId="0" borderId="43" applyAlignment="1" pivotButton="0" quotePrefix="0" xfId="0">
      <alignment vertical="center" wrapText="1"/>
    </xf>
    <xf numFmtId="3" fontId="43" fillId="23" borderId="4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3" fillId="0" borderId="43" applyAlignment="1" pivotButton="0" quotePrefix="0" xfId="0">
      <alignment horizontal="center" vertical="center"/>
    </xf>
    <xf numFmtId="0" fontId="43" fillId="23" borderId="43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/>
    </xf>
    <xf numFmtId="0" fontId="8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0" borderId="1" applyAlignment="1" pivotButton="0" quotePrefix="1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5" fillId="25" borderId="1" applyAlignment="1" pivotButton="0" quotePrefix="1" xfId="0">
      <alignment horizontal="left" vertical="center" wrapText="1"/>
    </xf>
    <xf numFmtId="0" fontId="5" fillId="25" borderId="1" applyAlignment="1" pivotButton="0" quotePrefix="0" xfId="0">
      <alignment horizontal="left" vertical="center" wrapText="1"/>
    </xf>
    <xf numFmtId="0" fontId="45" fillId="25" borderId="1" applyAlignment="1" pivotButton="0" quotePrefix="0" xfId="0">
      <alignment horizontal="center" vertical="center" wrapText="1"/>
    </xf>
    <xf numFmtId="0" fontId="45" fillId="2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7" fillId="22" borderId="34" applyAlignment="1" pivotButton="0" quotePrefix="0" xfId="0">
      <alignment horizontal="left" vertical="center"/>
    </xf>
    <xf numFmtId="0" fontId="37" fillId="22" borderId="31" applyAlignment="1" pivotButton="0" quotePrefix="0" xfId="0">
      <alignment horizontal="left" vertical="center"/>
    </xf>
    <xf numFmtId="0" fontId="37" fillId="22" borderId="37" applyAlignment="1" pivotButton="0" quotePrefix="0" xfId="0">
      <alignment horizontal="left" vertical="center"/>
    </xf>
    <xf numFmtId="0" fontId="20" fillId="18" borderId="7" applyAlignment="1" pivotButton="0" quotePrefix="0" xfId="0">
      <alignment horizontal="center"/>
    </xf>
    <xf numFmtId="0" fontId="20" fillId="18" borderId="4" applyAlignment="1" pivotButton="0" quotePrefix="0" xfId="0">
      <alignment horizontal="center"/>
    </xf>
    <xf numFmtId="0" fontId="20" fillId="18" borderId="8" applyAlignment="1" pivotButton="0" quotePrefix="0" xfId="0">
      <alignment horizontal="center"/>
    </xf>
    <xf numFmtId="0" fontId="25" fillId="18" borderId="6" applyAlignment="1" pivotButton="0" quotePrefix="0" xfId="0">
      <alignment horizontal="center"/>
    </xf>
    <xf numFmtId="0" fontId="25" fillId="18" borderId="5" applyAlignment="1" pivotButton="0" quotePrefix="0" xfId="0">
      <alignment horizontal="center"/>
    </xf>
    <xf numFmtId="0" fontId="25" fillId="18" borderId="38" applyAlignment="1" pivotButton="0" quotePrefix="0" xfId="0">
      <alignment horizontal="center"/>
    </xf>
    <xf numFmtId="0" fontId="33" fillId="18" borderId="23" applyAlignment="1" pivotButton="0" quotePrefix="0" xfId="0">
      <alignment horizontal="left" vertical="center"/>
    </xf>
    <xf numFmtId="0" fontId="33" fillId="15" borderId="24" applyAlignment="1" pivotButton="0" quotePrefix="0" xfId="0">
      <alignment horizontal="left"/>
    </xf>
    <xf numFmtId="0" fontId="33" fillId="20" borderId="1" applyAlignment="1" pivotButton="0" quotePrefix="0" xfId="0">
      <alignment horizontal="center" vertical="center"/>
    </xf>
    <xf numFmtId="0" fontId="37" fillId="22" borderId="32" applyAlignment="1" pivotButton="0" quotePrefix="0" xfId="0">
      <alignment horizontal="left" vertical="center"/>
    </xf>
    <xf numFmtId="0" fontId="37" fillId="22" borderId="30" applyAlignment="1" pivotButton="0" quotePrefix="0" xfId="0">
      <alignment horizontal="left" vertical="center"/>
    </xf>
    <xf numFmtId="0" fontId="37" fillId="22" borderId="35" applyAlignment="1" pivotButton="0" quotePrefix="0" xfId="0">
      <alignment horizontal="left" vertical="center"/>
    </xf>
    <xf numFmtId="0" fontId="37" fillId="22" borderId="33" applyAlignment="1" pivotButton="0" quotePrefix="0" xfId="0">
      <alignment horizontal="left" vertical="center"/>
    </xf>
    <xf numFmtId="0" fontId="37" fillId="22" borderId="0" applyAlignment="1" pivotButton="0" quotePrefix="0" xfId="0">
      <alignment horizontal="left" vertical="center"/>
    </xf>
    <xf numFmtId="0" fontId="37" fillId="22" borderId="36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43" fillId="24" borderId="39" applyAlignment="1" pivotButton="0" quotePrefix="0" xfId="0">
      <alignment vertical="center"/>
    </xf>
    <xf numFmtId="0" fontId="43" fillId="24" borderId="40" applyAlignment="1" pivotButton="0" quotePrefix="0" xfId="0">
      <alignment vertical="center"/>
    </xf>
    <xf numFmtId="0" fontId="43" fillId="0" borderId="45" applyAlignment="1" pivotButton="0" quotePrefix="0" xfId="0">
      <alignment horizontal="center" vertical="center"/>
    </xf>
    <xf numFmtId="0" fontId="43" fillId="0" borderId="44" applyAlignment="1" pivotButton="0" quotePrefix="0" xfId="0">
      <alignment horizontal="center" vertical="center"/>
    </xf>
    <xf numFmtId="0" fontId="43" fillId="23" borderId="39" applyAlignment="1" pivotButton="0" quotePrefix="0" xfId="0">
      <alignment horizontal="center" vertical="center"/>
    </xf>
    <xf numFmtId="0" fontId="43" fillId="23" borderId="40" applyAlignment="1" pivotButton="0" quotePrefix="0" xfId="0">
      <alignment horizontal="center" vertical="center"/>
    </xf>
    <xf numFmtId="0" fontId="43" fillId="23" borderId="39" applyAlignment="1" pivotButton="0" quotePrefix="0" xfId="0">
      <alignment vertical="center"/>
    </xf>
    <xf numFmtId="0" fontId="43" fillId="23" borderId="40" applyAlignment="1" pivotButton="0" quotePrefix="0" xfId="0">
      <alignment vertical="center"/>
    </xf>
    <xf numFmtId="0" fontId="43" fillId="23" borderId="42" applyAlignment="1" pivotButton="0" quotePrefix="0" xfId="0">
      <alignment horizontal="center" vertical="center"/>
    </xf>
    <xf numFmtId="0" fontId="43" fillId="23" borderId="41" applyAlignment="1" pivotButton="0" quotePrefix="0" xfId="0">
      <alignment horizontal="center" vertical="center"/>
    </xf>
    <xf numFmtId="0" fontId="43" fillId="24" borderId="39" applyAlignment="1" pivotButton="0" quotePrefix="0" xfId="0">
      <alignment horizontal="center" vertical="center"/>
    </xf>
    <xf numFmtId="0" fontId="43" fillId="24" borderId="40" applyAlignment="1" pivotButton="0" quotePrefix="0" xfId="0">
      <alignment horizontal="center" vertical="center"/>
    </xf>
    <xf numFmtId="0" fontId="20" fillId="18" borderId="47" applyAlignment="1" pivotButton="0" quotePrefix="0" xfId="0">
      <alignment horizontal="center"/>
    </xf>
    <xf numFmtId="0" fontId="0" fillId="0" borderId="4" pivotButton="0" quotePrefix="0" xfId="0"/>
    <xf numFmtId="0" fontId="0" fillId="0" borderId="8" pivotButton="0" quotePrefix="0" xfId="0"/>
    <xf numFmtId="0" fontId="25" fillId="18" borderId="48" applyAlignment="1" pivotButton="0" quotePrefix="0" xfId="0">
      <alignment horizontal="center"/>
    </xf>
    <xf numFmtId="0" fontId="0" fillId="0" borderId="5" pivotButton="0" quotePrefix="0" xfId="0"/>
    <xf numFmtId="0" fontId="0" fillId="0" borderId="38" pivotButton="0" quotePrefix="0" xfId="0"/>
    <xf numFmtId="164" fontId="27" fillId="9" borderId="16" applyAlignment="1" pivotButton="0" quotePrefix="0" xfId="0">
      <alignment horizontal="center"/>
    </xf>
    <xf numFmtId="164" fontId="27" fillId="9" borderId="17" applyAlignment="1" pivotButton="0" quotePrefix="0" xfId="0">
      <alignment horizontal="center"/>
    </xf>
    <xf numFmtId="164" fontId="28" fillId="9" borderId="20" applyAlignment="1" pivotButton="0" quotePrefix="0" xfId="0">
      <alignment horizontal="center"/>
    </xf>
    <xf numFmtId="164" fontId="28" fillId="9" borderId="21" applyAlignment="1" pivotButton="0" quotePrefix="0" xfId="0">
      <alignment horizontal="center"/>
    </xf>
    <xf numFmtId="164" fontId="28" fillId="9" borderId="22" applyAlignment="1" pivotButton="0" quotePrefix="0" xfId="0">
      <alignment horizontal="center"/>
    </xf>
    <xf numFmtId="164" fontId="30" fillId="9" borderId="12" applyAlignment="1" pivotButton="0" quotePrefix="0" xfId="0">
      <alignment horizontal="center"/>
    </xf>
    <xf numFmtId="164" fontId="27" fillId="9" borderId="0" applyAlignment="1" pivotButton="0" quotePrefix="0" xfId="0">
      <alignment horizontal="center"/>
    </xf>
    <xf numFmtId="164" fontId="32" fillId="9" borderId="12" applyAlignment="1" pivotButton="0" quotePrefix="0" xfId="0">
      <alignment horizontal="center"/>
    </xf>
    <xf numFmtId="164" fontId="28" fillId="9" borderId="0" applyAlignment="1" pivotButton="0" quotePrefix="0" xfId="0">
      <alignment horizontal="center"/>
    </xf>
    <xf numFmtId="164" fontId="28" fillId="9" borderId="14" applyAlignment="1" pivotButton="0" quotePrefix="0" xfId="0">
      <alignment horizontal="center"/>
    </xf>
    <xf numFmtId="164" fontId="27" fillId="9" borderId="12" applyAlignment="1" pivotButton="0" quotePrefix="0" xfId="0">
      <alignment horizontal="center"/>
    </xf>
    <xf numFmtId="164" fontId="28" fillId="9" borderId="12" applyAlignment="1" pivotButton="0" quotePrefix="0" xfId="0">
      <alignment horizontal="center"/>
    </xf>
    <xf numFmtId="164" fontId="27" fillId="9" borderId="13" applyAlignment="1" pivotButton="0" quotePrefix="0" xfId="0">
      <alignment horizontal="center"/>
    </xf>
    <xf numFmtId="164" fontId="27" fillId="9" borderId="10" applyAlignment="1" pivotButton="0" quotePrefix="0" xfId="0">
      <alignment horizontal="center"/>
    </xf>
    <xf numFmtId="164" fontId="28" fillId="9" borderId="13" applyAlignment="1" pivotButton="0" quotePrefix="0" xfId="0">
      <alignment horizontal="center"/>
    </xf>
    <xf numFmtId="164" fontId="28" fillId="9" borderId="10" applyAlignment="1" pivotButton="0" quotePrefix="0" xfId="0">
      <alignment horizontal="center"/>
    </xf>
    <xf numFmtId="164" fontId="28" fillId="9" borderId="15" applyAlignment="1" pivotButton="0" quotePrefix="0" xfId="0">
      <alignment horizontal="center"/>
    </xf>
    <xf numFmtId="0" fontId="0" fillId="0" borderId="23" pivotButton="0" quotePrefix="0" xfId="0"/>
    <xf numFmtId="164" fontId="19" fillId="9" borderId="1" applyAlignment="1" pivotButton="0" quotePrefix="0" xfId="0">
      <alignment horizontal="center"/>
    </xf>
    <xf numFmtId="0" fontId="0" fillId="0" borderId="24" pivotButton="0" quotePrefix="0" xfId="0"/>
    <xf numFmtId="0" fontId="0" fillId="0" borderId="51" pivotButton="0" quotePrefix="0" xfId="0"/>
    <xf numFmtId="0" fontId="0" fillId="0" borderId="52" pivotButton="0" quotePrefix="0" xfId="0"/>
    <xf numFmtId="0" fontId="37" fillId="22" borderId="53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5" pivotButton="0" quotePrefix="0" xfId="0"/>
    <xf numFmtId="0" fontId="37" fillId="22" borderId="54" applyAlignment="1" pivotButton="0" quotePrefix="0" xfId="0">
      <alignment horizontal="left" vertical="center"/>
    </xf>
    <xf numFmtId="0" fontId="0" fillId="0" borderId="36" pivotButton="0" quotePrefix="0" xfId="0"/>
    <xf numFmtId="0" fontId="37" fillId="22" borderId="46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7" pivotButton="0" quotePrefix="0" xfId="0"/>
    <xf numFmtId="0" fontId="46" fillId="28" borderId="59" applyAlignment="1" pivotButton="0" quotePrefix="0" xfId="0">
      <alignment horizontal="center" vertical="center" wrapText="1"/>
    </xf>
    <xf numFmtId="0" fontId="47" fillId="0" borderId="59" applyAlignment="1" pivotButton="0" quotePrefix="0" xfId="0">
      <alignment horizontal="center" vertical="center" wrapText="1"/>
    </xf>
    <xf numFmtId="0" fontId="48" fillId="0" borderId="59" applyAlignment="1" pivotButton="0" quotePrefix="0" xfId="0">
      <alignment horizontal="left" vertical="top" wrapText="1"/>
    </xf>
    <xf numFmtId="0" fontId="43" fillId="23" borderId="55" applyAlignment="1" pivotButton="0" quotePrefix="0" xfId="0">
      <alignment horizontal="center" vertical="center"/>
    </xf>
    <xf numFmtId="0" fontId="43" fillId="23" borderId="55" applyAlignment="1" pivotButton="0" quotePrefix="0" xfId="0">
      <alignment vertical="center"/>
    </xf>
    <xf numFmtId="0" fontId="0" fillId="0" borderId="41" pivotButton="0" quotePrefix="0" xfId="0"/>
    <xf numFmtId="0" fontId="43" fillId="24" borderId="55" applyAlignment="1" pivotButton="0" quotePrefix="0" xfId="0">
      <alignment horizontal="center" vertical="center"/>
    </xf>
    <xf numFmtId="0" fontId="43" fillId="24" borderId="55" applyAlignment="1" pivotButton="0" quotePrefix="0" xfId="0">
      <alignment vertical="center"/>
    </xf>
    <xf numFmtId="0" fontId="0" fillId="0" borderId="40" pivotButton="0" quotePrefix="0" xfId="0"/>
    <xf numFmtId="0" fontId="0" fillId="0" borderId="45" pivotButton="0" quotePrefix="0" xfId="0"/>
    <xf numFmtId="0" fontId="0" fillId="0" borderId="44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altLang="en-US"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상태별 진행 현황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altLang="en-US"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ko-KR"/>
        </a:p>
      </txPr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대시보드!$L$6:$L$9</f>
              <strCache>
                <ptCount val="4"/>
                <pt idx="0">
                  <v>완료</v>
                </pt>
                <pt idx="1">
                  <v>진행중</v>
                </pt>
                <pt idx="2">
                  <v>지연</v>
                </pt>
                <pt idx="3">
                  <v>신규</v>
                </pt>
              </strCache>
            </strRef>
          </cat>
          <val>
            <numRef>
              <f>대시보드!$M$6:$M$9</f>
              <numCache>
                <formatCode>General</formatCode>
                <ptCount val="4"/>
                <pt idx="0">
                  <v>2</v>
                </pt>
                <pt idx="1">
                  <v>24</v>
                </pt>
                <pt idx="2">
                  <v>4</v>
                </pt>
                <pt idx="3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10</row>
      <rowOff>0</rowOff>
    </from>
    <to>
      <col>16</col>
      <colOff>0</colOff>
      <row>24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2F75B5"/>
    <outlinePr summaryBelow="1" summaryRight="1"/>
    <pageSetUpPr/>
  </sheetPr>
  <dimension ref="A1:O45"/>
  <sheetViews>
    <sheetView showGridLines="0" topLeftCell="B10" zoomScaleNormal="100" workbookViewId="0">
      <pane xSplit="1" ySplit="1" topLeftCell="C14" activePane="bottomRight" state="frozen"/>
      <selection pane="bottomRight" activeCell="R29" sqref="R29"/>
      <selection pane="bottomLeft" activeCell="B11" sqref="B11"/>
      <selection pane="topRight" activeCell="C10" sqref="C10"/>
    </sheetView>
  </sheetViews>
  <sheetFormatPr baseColWidth="8" defaultRowHeight="17.1"/>
  <cols>
    <col width="2" customWidth="1" style="32" min="1" max="1"/>
    <col width="11.625" customWidth="1" style="32" min="2" max="3"/>
    <col width="35" customWidth="1" style="32" min="4" max="4"/>
    <col width="13.375" customWidth="1" style="32" min="5" max="6"/>
    <col width="35.875" customWidth="1" style="32" min="7" max="7"/>
    <col width="40.375" customWidth="1" style="32" min="8" max="8"/>
    <col width="12.875" customWidth="1" style="32" min="9" max="9"/>
    <col width="25" customWidth="1" style="32" min="10" max="11"/>
    <col width="51.125" bestFit="1" customWidth="1" style="32" min="12" max="12"/>
    <col width="12.875" customWidth="1" style="32" min="13" max="14"/>
    <col width="2.375" customWidth="1" style="32" min="15" max="15"/>
  </cols>
  <sheetData>
    <row r="1" ht="8.1" customHeight="1" thickBot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 ht="30" customHeight="1" thickBot="1" thickTop="1">
      <c r="A2" s="39" t="n"/>
      <c r="B2" s="151" t="inlineStr">
        <is>
          <t>기술-해외영업 안건 일정관리 대시보드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3" t="n"/>
      <c r="O2" s="39" t="n"/>
    </row>
    <row r="3" ht="30" customHeight="1" thickBot="1" thickTop="1">
      <c r="A3" s="39" t="n"/>
      <c r="B3" s="154" t="inlineStr">
        <is>
          <t>기준: 2026-05-29 | 원본: 전체 안건 추적표 | 5월 Rev3 반영 | 신규/지연/To-Do 중심 관리</t>
        </is>
      </c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6" t="n"/>
      <c r="O3" s="39" t="n"/>
    </row>
    <row r="4" ht="18" customHeight="1" thickBot="1" thickTop="1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5" ht="23.1" customHeight="1" thickTop="1">
      <c r="A5" s="39" t="n"/>
      <c r="B5" s="43" t="inlineStr">
        <is>
          <t>전체 안건</t>
        </is>
      </c>
      <c r="C5" s="41" t="n"/>
      <c r="D5" s="41" t="n"/>
      <c r="E5" s="157" t="inlineStr">
        <is>
          <t>정상 관리율</t>
        </is>
      </c>
      <c r="F5" s="158" t="n"/>
      <c r="G5" s="158" t="n"/>
      <c r="H5" s="54" t="inlineStr">
        <is>
          <t>지연 안건</t>
        </is>
      </c>
      <c r="I5" s="55" t="n"/>
      <c r="J5" s="55" t="n"/>
      <c r="K5" s="159" t="inlineStr">
        <is>
          <t>액션 등록률</t>
        </is>
      </c>
      <c r="L5" s="160" t="n"/>
      <c r="M5" s="160" t="n"/>
      <c r="N5" s="161" t="n"/>
      <c r="O5" s="39" t="n"/>
    </row>
    <row r="6" ht="23.1" customHeight="1">
      <c r="A6" s="39" t="n"/>
      <c r="B6" s="67">
        <f>COUNT('전체 안건 추적표'!$A$4:$A$37)</f>
        <v/>
      </c>
      <c r="C6" s="40" t="n"/>
      <c r="D6" s="40" t="n"/>
      <c r="E6" s="162">
        <f>1-COUNTIF('전체 안건 추적표'!$J$4:$J$37,"지연")/COUNT('전체 안건 추적표'!$A$4:$A$37)</f>
        <v/>
      </c>
      <c r="F6" s="163" t="n"/>
      <c r="G6" s="163" t="n"/>
      <c r="H6" s="69">
        <f>COUNTIF('전체 안건 추적표'!$J$4:$J$37,"지연")</f>
        <v/>
      </c>
      <c r="I6" s="53" t="n"/>
      <c r="J6" s="53" t="n"/>
      <c r="K6" s="164">
        <f>COUNTIF('전체 안건 추적표'!$L$4:$L$37,"&lt;&gt;-")/COUNT('전체 안건 추적표'!$A$4:$A$37)</f>
        <v/>
      </c>
      <c r="L6" s="165" t="n"/>
      <c r="M6" s="165" t="n"/>
      <c r="N6" s="166" t="n"/>
      <c r="O6" s="39" t="n"/>
    </row>
    <row r="7" ht="23.1" customHeight="1">
      <c r="A7" s="39" t="n"/>
      <c r="B7" s="44" t="inlineStr">
        <is>
          <t>총 추적 대상</t>
        </is>
      </c>
      <c r="C7" s="40" t="n"/>
      <c r="D7" s="40" t="n"/>
      <c r="E7" s="167" t="inlineStr">
        <is>
          <t>지연 제외 관리 범위</t>
        </is>
      </c>
      <c r="F7" s="163" t="n"/>
      <c r="G7" s="163" t="n"/>
      <c r="H7" s="52" t="inlineStr">
        <is>
          <t>즉시 조치 필요</t>
        </is>
      </c>
      <c r="I7" s="53" t="n"/>
      <c r="J7" s="53" t="n"/>
      <c r="K7" s="168" t="inlineStr">
        <is>
          <t>To-Do 보유율</t>
        </is>
      </c>
      <c r="L7" s="165" t="n"/>
      <c r="M7" s="165" t="n"/>
      <c r="N7" s="166" t="n"/>
      <c r="O7" s="39" t="n"/>
    </row>
    <row r="8" ht="23.1" customHeight="1">
      <c r="A8" s="39" t="n"/>
      <c r="B8" s="45" t="n"/>
      <c r="C8" s="42" t="n"/>
      <c r="D8" s="42" t="n"/>
      <c r="E8" s="169" t="n"/>
      <c r="F8" s="170" t="n"/>
      <c r="G8" s="170" t="n"/>
      <c r="H8" s="56" t="n"/>
      <c r="I8" s="57" t="n"/>
      <c r="J8" s="57" t="n"/>
      <c r="K8" s="171" t="n"/>
      <c r="L8" s="172" t="n"/>
      <c r="M8" s="172" t="n"/>
      <c r="N8" s="173" t="n"/>
      <c r="O8" s="39" t="n"/>
    </row>
    <row r="9" ht="17.45" customHeight="1" thickBot="1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</row>
    <row r="10" ht="24" customHeight="1">
      <c r="A10" s="39" t="n"/>
      <c r="B10" s="128" t="inlineStr">
        <is>
          <t>📌 상태별 관리 현황</t>
        </is>
      </c>
      <c r="C10" s="174" t="n"/>
      <c r="D10" s="174" t="n"/>
      <c r="E10" s="79" t="n"/>
      <c r="F10" s="128" t="inlineStr">
        <is>
          <t>🏭 공장별 진행 밸런스</t>
        </is>
      </c>
      <c r="G10" s="174" t="n"/>
      <c r="H10" s="174" t="n"/>
      <c r="I10" s="174" t="n"/>
      <c r="J10" s="174" t="n"/>
      <c r="K10" s="79" t="n"/>
      <c r="L10" s="128" t="inlineStr">
        <is>
          <t>🟢 일정관리 신호등</t>
        </is>
      </c>
      <c r="M10" s="174" t="n"/>
      <c r="N10" s="174" t="n"/>
      <c r="O10" s="39" t="n"/>
    </row>
    <row r="11">
      <c r="A11" s="39" t="n"/>
      <c r="B11" s="82" t="inlineStr">
        <is>
          <t>상태</t>
        </is>
      </c>
      <c r="C11" s="82" t="inlineStr">
        <is>
          <t>건수</t>
        </is>
      </c>
      <c r="D11" s="82" t="inlineStr">
        <is>
          <t>비중 / 관리 바</t>
        </is>
      </c>
      <c r="E11" s="39" t="n"/>
      <c r="F11" s="82" t="inlineStr">
        <is>
          <t>공장</t>
        </is>
      </c>
      <c r="G11" s="82" t="inlineStr">
        <is>
          <t>전체</t>
        </is>
      </c>
      <c r="H11" s="82" t="inlineStr">
        <is>
          <t>정상관리</t>
        </is>
      </c>
      <c r="I11" s="82" t="inlineStr">
        <is>
          <t>지연</t>
        </is>
      </c>
      <c r="J11" s="82" t="inlineStr">
        <is>
          <t>신규</t>
        </is>
      </c>
      <c r="K11" s="39" t="n"/>
      <c r="L11" s="82" t="inlineStr">
        <is>
          <t>지표</t>
        </is>
      </c>
      <c r="M11" s="82" t="inlineStr">
        <is>
          <t>현황</t>
        </is>
      </c>
      <c r="N11" s="82" t="inlineStr">
        <is>
          <t>판정</t>
        </is>
      </c>
      <c r="O11" s="39" t="n"/>
    </row>
    <row r="12">
      <c r="A12" s="39" t="n"/>
      <c r="B12" s="82" t="inlineStr">
        <is>
          <t>완료</t>
        </is>
      </c>
      <c r="C12" s="82">
        <f>COUNTIF('전체 안건 추적표'!$J$4:$J$37,B12)</f>
        <v/>
      </c>
      <c r="D12" s="87">
        <f>REPT("■",ROUND(C12/$B$6*20,0))&amp;" "&amp;TEXT(C12/$B$6,"0%")</f>
        <v/>
      </c>
      <c r="E12" s="39" t="n"/>
      <c r="F12" s="82" t="inlineStr">
        <is>
          <t>창원</t>
        </is>
      </c>
      <c r="G12" s="82">
        <f>COUNTIF('전체 안건 추적표'!$B$4:$B$37,F12)</f>
        <v/>
      </c>
      <c r="H12" s="82">
        <f>G12-I12</f>
        <v/>
      </c>
      <c r="I12" s="82">
        <f>COUNTIFS('전체 안건 추적표'!$B$4:$B$37,F12,'전체 안건 추적표'!$J$4:$J$37,"지연")</f>
        <v/>
      </c>
      <c r="J12" s="82">
        <f>COUNTIFS('전체 안건 추적표'!$B$4:$B$37,F12,'전체 안건 추적표'!$J$4:$J$37,"신규")</f>
        <v/>
      </c>
      <c r="K12" s="39" t="n"/>
      <c r="L12" s="82" t="inlineStr">
        <is>
          <t>정상 관리율</t>
        </is>
      </c>
      <c r="M12" s="175">
        <f>$E$6</f>
        <v/>
      </c>
      <c r="N12" s="84">
        <f>IF(M12&gt;=0.85,"양호",IF(M12&gt;=0.75,"주의","위험"))</f>
        <v/>
      </c>
      <c r="O12" s="39" t="n"/>
    </row>
    <row r="13">
      <c r="A13" s="39" t="n"/>
      <c r="B13" s="82" t="inlineStr">
        <is>
          <t>진행중</t>
        </is>
      </c>
      <c r="C13" s="82">
        <f>COUNTIF('전체 안건 추적표'!$J$4:$J$37,B13)</f>
        <v/>
      </c>
      <c r="D13" s="88">
        <f>REPT("■",ROUND(C13/$B$6*20,0))&amp;" "&amp;TEXT(C13/$B$6,"0%")</f>
        <v/>
      </c>
      <c r="E13" s="39" t="n"/>
      <c r="F13" s="82" t="inlineStr">
        <is>
          <t>광주</t>
        </is>
      </c>
      <c r="G13" s="82">
        <f>COUNTIF('전체 안건 추적표'!$B$4:$B$37,F13)</f>
        <v/>
      </c>
      <c r="H13" s="82">
        <f>G13-I13</f>
        <v/>
      </c>
      <c r="I13" s="82">
        <f>COUNTIFS('전체 안건 추적표'!$B$4:$B$37,F13,'전체 안건 추적표'!$J$4:$J$37,"지연")</f>
        <v/>
      </c>
      <c r="J13" s="82">
        <f>COUNTIFS('전체 안건 추적표'!$B$4:$B$37,F13,'전체 안건 추적표'!$J$4:$J$37,"신규")</f>
        <v/>
      </c>
      <c r="K13" s="39" t="n"/>
      <c r="L13" s="82" t="inlineStr">
        <is>
          <t>액션 등록률</t>
        </is>
      </c>
      <c r="M13" s="175">
        <f>$K$6</f>
        <v/>
      </c>
      <c r="N13" s="84">
        <f>IF(M13&gt;=0.9,"양호",IF(M13&gt;=0.75,"주의","보완"))</f>
        <v/>
      </c>
      <c r="O13" s="39" t="n"/>
    </row>
    <row r="14">
      <c r="A14" s="39" t="n"/>
      <c r="B14" s="82" t="inlineStr">
        <is>
          <t>지연</t>
        </is>
      </c>
      <c r="C14" s="82">
        <f>COUNTIF('전체 안건 추적표'!$J$4:$J$37,B14)</f>
        <v/>
      </c>
      <c r="D14" s="89">
        <f>REPT("■",ROUND(C14/$B$6*20,0))&amp;" "&amp;TEXT(C14/$B$6,"0%")</f>
        <v/>
      </c>
      <c r="E14" s="39" t="n"/>
      <c r="F14" s="39" t="n"/>
      <c r="G14" s="39" t="n"/>
      <c r="H14" s="39" t="n"/>
      <c r="I14" s="39" t="n"/>
      <c r="J14" s="39" t="n"/>
      <c r="K14" s="39" t="n"/>
      <c r="L14" s="82" t="inlineStr">
        <is>
          <t>지연 비중</t>
        </is>
      </c>
      <c r="M14" s="175">
        <f>$H$6/$B$6</f>
        <v/>
      </c>
      <c r="N14" s="84">
        <f>IF(M14&lt;=0.15,"관리 가능",IF(M14&lt;=0.25,"주의","위험"))</f>
        <v/>
      </c>
      <c r="O14" s="39" t="n"/>
    </row>
    <row r="15">
      <c r="A15" s="39" t="n"/>
      <c r="B15" s="82" t="inlineStr">
        <is>
          <t>신규</t>
        </is>
      </c>
      <c r="C15" s="82">
        <f>COUNTIF('전체 안건 추적표'!$J$4:$J$37,B15)</f>
        <v/>
      </c>
      <c r="D15" s="90">
        <f>REPT("■",ROUND(C15/$B$6*20,0))&amp;" "&amp;TEXT(C15/$B$6,"0%")</f>
        <v/>
      </c>
      <c r="E15" s="39" t="n"/>
      <c r="F15" s="39" t="n"/>
      <c r="G15" s="39" t="n"/>
      <c r="H15" s="39" t="n"/>
      <c r="I15" s="39" t="n"/>
      <c r="J15" s="39" t="n"/>
      <c r="K15" s="39" t="n"/>
      <c r="L15" s="82" t="inlineStr">
        <is>
          <t>5월 신규 투입</t>
        </is>
      </c>
      <c r="M15" s="85">
        <f>COUNTIF('전체 안건 추적표'!$J$4:$J$37,"신규")</f>
        <v/>
      </c>
      <c r="N15" s="86">
        <f>IF(M15&gt;=1,"신규 반영","확인")</f>
        <v/>
      </c>
      <c r="O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</row>
    <row r="17" ht="24" customHeight="1" thickBot="1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</row>
    <row r="18">
      <c r="A18" s="39" t="n"/>
      <c r="B18" s="129" t="inlineStr">
        <is>
          <t>⚠ 즉시 확인 필요 안건</t>
        </is>
      </c>
      <c r="C18" s="176" t="n"/>
      <c r="D18" s="176" t="n"/>
      <c r="E18" s="176" t="n"/>
      <c r="F18" s="176" t="n"/>
      <c r="G18" s="176" t="n"/>
      <c r="H18" s="176" t="n"/>
      <c r="I18" s="39" t="n"/>
      <c r="J18" s="130" t="inlineStr">
        <is>
          <t>🗓 6월 집중 마일스톤</t>
        </is>
      </c>
      <c r="K18" s="177" t="n"/>
      <c r="L18" s="178" t="n"/>
    </row>
    <row r="19">
      <c r="A19" s="39" t="n"/>
      <c r="B19" s="77" t="inlineStr">
        <is>
          <t>No.</t>
        </is>
      </c>
      <c r="C19" s="77" t="inlineStr">
        <is>
          <t>공장</t>
        </is>
      </c>
      <c r="D19" s="77" t="inlineStr">
        <is>
          <t>안건명</t>
        </is>
      </c>
      <c r="E19" s="77" t="inlineStr">
        <is>
          <t>관련부서</t>
        </is>
      </c>
      <c r="F19" s="77" t="inlineStr">
        <is>
          <t>상태</t>
        </is>
      </c>
      <c r="G19" s="77" t="inlineStr">
        <is>
          <t>누락/미반영 사유</t>
        </is>
      </c>
      <c r="H19" s="77" t="inlineStr">
        <is>
          <t>6월 이후 To-Do</t>
        </is>
      </c>
      <c r="I19" s="39" t="n"/>
      <c r="J19" s="80" t="inlineStr">
        <is>
          <t>안건명</t>
        </is>
      </c>
      <c r="K19" s="80" t="inlineStr">
        <is>
          <t>관련부서</t>
        </is>
      </c>
      <c r="L19" s="80" t="inlineStr">
        <is>
          <t>6월 이후 To-Do</t>
        </is>
      </c>
    </row>
    <row r="20" ht="44.1" customHeight="1">
      <c r="A20" s="39" t="n"/>
      <c r="B20" s="81">
        <f t="array" ref="B20:B26">IFERROR(_xlfn._xlws.FILTER('전체 안건 추적표'!A4:A37,('전체 안건 추적표'!J4:J37="지연")+(LEFT('전체 안건 추적표'!K4:K37,1)="★")),"")</f>
        <v/>
      </c>
      <c r="C20" s="81">
        <f t="array" ref="C20:C26">IFERROR(_xlfn._xlws.FILTER('전체 안건 추적표'!B4:B37,('전체 안건 추적표'!J4:J37="지연")+(LEFT('전체 안건 추적표'!K4:K37,1)="★")),"")</f>
        <v/>
      </c>
      <c r="D20" s="81">
        <f t="array" ref="D20:D26">IFERROR(_xlfn._xlws.FILTER('전체 안건 추적표'!C4:C37,('전체 안건 추적표'!J4:J37="지연")+(LEFT('전체 안건 추적표'!K4:K37,1)="★")),"")</f>
        <v/>
      </c>
      <c r="E20" s="81">
        <f t="array" ref="E20:E26">IFERROR(_xlfn._xlws.FILTER('전체 안건 추적표'!D4:D37,('전체 안건 추적표'!J4:J37="지연")+(LEFT('전체 안건 추적표'!K4:K37,1)="★")),"")</f>
        <v/>
      </c>
      <c r="F20" s="81">
        <f t="array" ref="F20:F26">IFERROR(_xlfn._xlws.FILTER('전체 안건 추적표'!J4:J37,('전체 안건 추적표'!J4:J37="지연")+(LEFT('전체 안건 추적표'!K4:K37,1)="★")),"")</f>
        <v/>
      </c>
      <c r="G20" s="78">
        <f t="array" ref="G20:G26">IFERROR(_xlfn._xlws.FILTER('전체 안건 추적표'!K4:K37,('전체 안건 추적표'!J4:J37="지연")+(LEFT('전체 안건 추적표'!K4:K37,1)="★")),"")</f>
        <v/>
      </c>
      <c r="H20" s="78">
        <f t="array" ref="H20:H26">IFERROR(_xlfn._xlws.FILTER('전체 안건 추적표'!L4:L37,('전체 안건 추적표'!J4:J37="지연")+(LEFT('전체 안건 추적표'!K4:K37,1)="★")),"")</f>
        <v/>
      </c>
      <c r="I20" s="39" t="n"/>
      <c r="J20" s="81">
        <f t="array" ref="J20:J29">IFERROR(_xlfn.TAKE(_xlfn._xlws.FILTER('전체 안건 추적표'!C4:C37,ISNUMBER(SEARCH("6",'전체 안건 추적표'!L4:L37))),10),"")</f>
        <v/>
      </c>
      <c r="K20" s="81">
        <f t="array" ref="K20:K29">IFERROR(_xlfn.TAKE(_xlfn._xlws.FILTER('전체 안건 추적표'!D4:D37,ISNUMBER(SEARCH("6",'전체 안건 추적표'!L4:L37))),10),"")</f>
        <v/>
      </c>
      <c r="L20" s="81">
        <f t="array" ref="L20:L29">IFERROR(_xlfn.TAKE(_xlfn._xlws.FILTER('전체 안건 추적표'!L4:L37,ISNUMBER(SEARCH("6",'전체 안건 추적표'!L4:L37))),10),"")</f>
        <v/>
      </c>
    </row>
    <row r="21" ht="44.1" customHeight="1">
      <c r="A21" s="39" t="n"/>
      <c r="B21" s="81" t="n">
        <v>10</v>
      </c>
      <c r="C21" s="81" t="inlineStr">
        <is>
          <t>창원</t>
        </is>
      </c>
      <c r="D21" s="81" t="inlineStr">
        <is>
          <t>BOSCH EU RFQ</t>
        </is>
      </c>
      <c r="E21" s="81" t="inlineStr">
        <is>
          <t>OE개발</t>
        </is>
      </c>
      <c r="F21" s="81" t="inlineStr">
        <is>
          <t>지연</t>
        </is>
      </c>
      <c r="G21" s="78" t="inlineStr">
        <is>
          <t>★ 3월 회신 예정이었으나
5월까지 미회신</t>
        </is>
      </c>
      <c r="H21" s="78" t="inlineStr">
        <is>
          <t>BOSCH 측 회신 재촉</t>
        </is>
      </c>
      <c r="I21" s="39" t="n"/>
      <c r="J21" s="81" t="inlineStr">
        <is>
          <t>일본향 xEV용 EN 제품 개발</t>
        </is>
      </c>
      <c r="K21" s="81" t="inlineStr">
        <is>
          <t>AP</t>
        </is>
      </c>
      <c r="L21" s="81" t="inlineStr">
        <is>
          <t>LN1 PV 완료(~6/15)
바이어 라인업 전환 협의(하반기)</t>
        </is>
      </c>
    </row>
    <row r="22" ht="44.1" customHeight="1">
      <c r="A22" s="39" t="n"/>
      <c r="B22" s="81" t="n">
        <v>15</v>
      </c>
      <c r="C22" s="81" t="inlineStr">
        <is>
          <t>광주</t>
        </is>
      </c>
      <c r="D22" s="81" t="inlineStr">
        <is>
          <t>일본시장 충전제어용(BSJP)</t>
        </is>
      </c>
      <c r="E22" s="81" t="inlineStr">
        <is>
          <t>AP</t>
        </is>
      </c>
      <c r="F22" s="81" t="inlineStr">
        <is>
          <t>지연</t>
        </is>
      </c>
      <c r="G22" s="78" t="inlineStr">
        <is>
          <t>★ RFQ 미제출!
4월에 5월 제출 예정이었으나 미이행</t>
        </is>
      </c>
      <c r="H22" s="78" t="inlineStr">
        <is>
          <t>영업: BSJP 요구 Spec 재확인(~6월)
기술: 벤치마킹(~6/19)</t>
        </is>
      </c>
      <c r="I22" s="39" t="n"/>
      <c r="J22" s="81" t="inlineStr">
        <is>
          <t>일본향 ISS 증대 제품(BSJP)</t>
        </is>
      </c>
      <c r="K22" s="81" t="inlineStr">
        <is>
          <t>AP</t>
        </is>
      </c>
      <c r="L22" s="81" t="inlineStr">
        <is>
          <t>Q85, S95 2차 PV 결과(~6월)</t>
        </is>
      </c>
    </row>
    <row r="23" ht="44.1" customHeight="1">
      <c r="A23" s="39" t="n"/>
      <c r="B23" s="81" t="n">
        <v>27</v>
      </c>
      <c r="C23" s="81" t="inlineStr">
        <is>
          <t>광주</t>
        </is>
      </c>
      <c r="D23" s="81" t="inlineStr">
        <is>
          <t>GB LN1-PN 카바 디자인 변경</t>
        </is>
      </c>
      <c r="E23" s="81" t="inlineStr">
        <is>
          <t>AP</t>
        </is>
      </c>
      <c r="F23" s="81" t="inlineStr">
        <is>
          <t>진행중</t>
        </is>
      </c>
      <c r="G23" s="78" t="inlineStr">
        <is>
          <t>★ 영업 회신(~4/10) 이후
결과가 5월 자료에 미반영</t>
        </is>
      </c>
      <c r="H23" s="78" t="inlineStr">
        <is>
          <t>영업 회신 결과 확인 필요
- Club Assist 현재 출장 중으로 차주 업데이트 예정 (26.6.15기준)</t>
        </is>
      </c>
      <c r="I23" s="39" t="n"/>
      <c r="J23" s="81" t="inlineStr">
        <is>
          <t>일본시장 충전제어용(BSJP)</t>
        </is>
      </c>
      <c r="K23" s="81" t="inlineStr">
        <is>
          <t>AP</t>
        </is>
      </c>
      <c r="L23" s="81" t="inlineStr">
        <is>
          <t>영업: BSJP 요구 Spec 재확인(~6월)
기술: 벤치마킹(~6/19)</t>
        </is>
      </c>
    </row>
    <row r="24" ht="44.1" customHeight="1">
      <c r="A24" s="39" t="n"/>
      <c r="B24" s="81" t="n">
        <v>28</v>
      </c>
      <c r="C24" s="81" t="inlineStr">
        <is>
          <t>광주</t>
        </is>
      </c>
      <c r="D24" s="81" t="inlineStr">
        <is>
          <t>전해액 혼합치구 적합성 검토</t>
        </is>
      </c>
      <c r="E24" s="81" t="inlineStr">
        <is>
          <t>영업기획</t>
        </is>
      </c>
      <c r="F24" s="81" t="inlineStr">
        <is>
          <t>진행중</t>
        </is>
      </c>
      <c r="G24" s="78" t="inlineStr">
        <is>
          <t>★ 방치 후 5월에 재개됨
아직 완료 아님</t>
        </is>
      </c>
      <c r="H24" s="78" t="inlineStr">
        <is>
          <t>코드 변경 진행 및
변경 확인 회신 촉구</t>
        </is>
      </c>
      <c r="I24" s="39" t="n"/>
      <c r="J24" s="81" t="inlineStr">
        <is>
          <t>BCI 65 PH 라인업 확대</t>
        </is>
      </c>
      <c r="K24" s="81" t="inlineStr">
        <is>
          <t>미주</t>
        </is>
      </c>
      <c r="L24" s="81" t="inlineStr">
        <is>
          <t>2차 검증 결과보고(~6/20)</t>
        </is>
      </c>
    </row>
    <row r="25" ht="44.1" customHeight="1">
      <c r="A25" s="39" t="n"/>
      <c r="B25" s="81" t="n">
        <v>29</v>
      </c>
      <c r="C25" s="81" t="inlineStr">
        <is>
          <t>광주</t>
        </is>
      </c>
      <c r="D25" s="81" t="inlineStr">
        <is>
          <t>저비중 SG6→SG8 변경 검토</t>
        </is>
      </c>
      <c r="E25" s="81" t="inlineStr">
        <is>
          <t>영업</t>
        </is>
      </c>
      <c r="F25" s="81" t="inlineStr">
        <is>
          <t>지연</t>
        </is>
      </c>
      <c r="G25" s="78" t="inlineStr">
        <is>
          <t>★★ 4개월째 미회신
2월 요청→5월까지 미이행</t>
        </is>
      </c>
      <c r="H25" s="78" t="inlineStr">
        <is>
          <t>저비중 SG6→SG8 변경 검토
시트 참고 (26. 6. 15 업데이트)</t>
        </is>
      </c>
      <c r="I25" s="39" t="n"/>
      <c r="J25" s="81" t="inlineStr">
        <is>
          <t>BCI 31 PH 트럭용 개발</t>
        </is>
      </c>
      <c r="K25" s="81" t="inlineStr">
        <is>
          <t>미주</t>
        </is>
      </c>
      <c r="L25" s="81" t="inlineStr">
        <is>
          <t>기본성능 검증 및 설계 협의(~6/22)
벤치마킹 보고(~7/30)</t>
        </is>
      </c>
    </row>
    <row r="26" ht="44.1" customHeight="1">
      <c r="A26" s="39" t="n"/>
      <c r="B26" s="81" t="n">
        <v>30</v>
      </c>
      <c r="C26" s="81" t="inlineStr">
        <is>
          <t>광주</t>
        </is>
      </c>
      <c r="D26" s="81" t="inlineStr">
        <is>
          <t>소형 단자 보호캡 형상 변경</t>
        </is>
      </c>
      <c r="E26" s="81" t="inlineStr">
        <is>
          <t>광주기술</t>
        </is>
      </c>
      <c r="F26" s="81" t="inlineStr">
        <is>
          <t>진행중</t>
        </is>
      </c>
      <c r="G26" s="78" t="inlineStr">
        <is>
          <t>★ 바이어 ECR 확인
결과 미반영</t>
        </is>
      </c>
      <c r="H26" s="78" t="inlineStr">
        <is>
          <t>금형 수정(~8월)
양산(10월 예상)</t>
        </is>
      </c>
      <c r="I26" s="39" t="n"/>
      <c r="J26" s="81" t="inlineStr">
        <is>
          <t>High Spec B24 개발</t>
        </is>
      </c>
      <c r="K26" s="81" t="inlineStr">
        <is>
          <t>기술(자체)</t>
        </is>
      </c>
      <c r="L26" s="81" t="inlineStr">
        <is>
          <t>성능 검증(~6월)</t>
        </is>
      </c>
    </row>
    <row r="27" ht="44.1" customHeight="1">
      <c r="A27" s="39" t="n"/>
      <c r="B27" s="73" t="n"/>
      <c r="C27" s="71" t="n"/>
      <c r="D27" s="71" t="n"/>
      <c r="E27" s="71" t="n"/>
      <c r="F27" s="71" t="n"/>
      <c r="G27" s="71" t="n"/>
      <c r="H27" s="75" t="n"/>
      <c r="I27" s="39" t="n"/>
      <c r="J27" s="81" t="inlineStr">
        <is>
          <t>High Spec D31 개발</t>
        </is>
      </c>
      <c r="K27" s="81" t="inlineStr">
        <is>
          <t>기술(자체)</t>
        </is>
      </c>
      <c r="L27" s="81" t="inlineStr">
        <is>
          <t>2차 샘플 생산(~6/20)
성능 검증(~8/30)
VC 표기치 협의(~6/5)</t>
        </is>
      </c>
    </row>
    <row r="28" ht="44.1" customHeight="1">
      <c r="A28" s="39" t="n"/>
      <c r="B28" s="73" t="n"/>
      <c r="C28" s="71" t="n"/>
      <c r="D28" s="71" t="n"/>
      <c r="E28" s="71" t="n"/>
      <c r="F28" s="71" t="n"/>
      <c r="G28" s="71" t="n"/>
      <c r="H28" s="75" t="n"/>
      <c r="I28" s="39" t="n"/>
      <c r="J28" s="81" t="inlineStr">
        <is>
          <t>중동향 Smart EFB 개발</t>
        </is>
      </c>
      <c r="K28" s="81" t="inlineStr">
        <is>
          <t>중아</t>
        </is>
      </c>
      <c r="L28" s="81" t="inlineStr">
        <is>
          <t>사양 발행 및 양산(6월)
LN4 추가 개선 협의(6/1)</t>
        </is>
      </c>
    </row>
    <row r="29" ht="44.1" customHeight="1">
      <c r="A29" s="39" t="n"/>
      <c r="B29" s="73" t="n"/>
      <c r="C29" s="71" t="n"/>
      <c r="D29" s="71" t="n"/>
      <c r="E29" s="71" t="n"/>
      <c r="F29" s="71" t="n"/>
      <c r="G29" s="71" t="n"/>
      <c r="H29" s="75" t="n"/>
      <c r="I29" s="39" t="n"/>
      <c r="J29" s="81" t="inlineStr">
        <is>
          <t>JIS 중형 필드수명 개선품</t>
        </is>
      </c>
      <c r="K29" s="81" t="inlineStr">
        <is>
          <t>AP</t>
        </is>
      </c>
      <c r="L29" s="81" t="inlineStr">
        <is>
          <t>영업: 바이어 송부 수량 확인(~6/20)
기술: 홍보자료(~6/12)
샘플 생산(~6/30)</t>
        </is>
      </c>
    </row>
    <row r="30" ht="16.5" customHeight="1">
      <c r="A30" s="39" t="n"/>
      <c r="B30" s="73" t="n"/>
      <c r="C30" s="71" t="n"/>
      <c r="D30" s="71" t="n"/>
      <c r="E30" s="71" t="n"/>
      <c r="F30" s="71" t="n"/>
      <c r="G30" s="71" t="n"/>
      <c r="H30" s="75" t="n"/>
      <c r="I30" s="39" t="n"/>
      <c r="J30" s="73" t="n"/>
      <c r="K30" s="71" t="n"/>
      <c r="L30" s="75" t="n"/>
    </row>
    <row r="31" ht="6.95" customHeight="1">
      <c r="A31" s="39" t="n"/>
      <c r="B31" s="74" t="n"/>
      <c r="C31" s="72" t="n"/>
      <c r="D31" s="72" t="n"/>
      <c r="E31" s="72" t="n"/>
      <c r="F31" s="72" t="n"/>
      <c r="G31" s="72" t="n"/>
      <c r="H31" s="76" t="n"/>
      <c r="I31" s="39" t="n"/>
      <c r="J31" s="74" t="n"/>
      <c r="K31" s="72" t="n"/>
      <c r="L31" s="76" t="n"/>
      <c r="M31" s="39" t="n"/>
      <c r="N31" s="39" t="n"/>
      <c r="O31" s="39" t="n"/>
    </row>
    <row r="32" ht="9" customHeight="1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</row>
    <row r="33" ht="3.95" customHeight="1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</row>
    <row r="34" ht="28.5" customHeight="1">
      <c r="A34" s="39" t="n"/>
      <c r="B34" s="179" t="inlineStr">
        <is>
          <t>✅ 관리 포인트 요약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1" t="n"/>
      <c r="O34" s="39" t="n"/>
    </row>
    <row r="35" ht="28.5" customHeight="1">
      <c r="A35" s="39" t="n"/>
      <c r="B35" s="182">
        <f>"총 "&amp;$B$6&amp;"건 중 "&amp;($B$6-$H$6)&amp;"건이 지연 제외 정상 관리 범위이며, 액션 등록률은 "&amp;TEXT($K$6,"0.0%")&amp;"입니다."</f>
        <v/>
      </c>
      <c r="N35" s="183" t="n"/>
      <c r="O35" s="39" t="n"/>
    </row>
    <row r="36" ht="28.5" customHeight="1">
      <c r="A36" s="39" t="n"/>
      <c r="B36" s="182">
        <f>"지연 안건은 "&amp;$H$6&amp;"건으로 별도 추적 리스트에 자동 노출되며, 6월 마일스톤은 우측 리스트에서 바로 확인 가능합니다."</f>
        <v/>
      </c>
      <c r="N36" s="183" t="n"/>
      <c r="O36" s="39" t="n"/>
    </row>
    <row r="37" ht="28.5" customHeight="1">
      <c r="A37" s="39" t="n"/>
      <c r="B37" s="184">
        <f>"5월 신규 안건 "&amp;COUNTIF('전체 안건 추적표'!$J$4:$J$37,"신규")&amp;"건이 반영되어 월간 교류회 후속관리 흐름이 유지되고 있습니다."</f>
        <v/>
      </c>
      <c r="C37" s="185" t="n"/>
      <c r="D37" s="185" t="n"/>
      <c r="E37" s="185" t="n"/>
      <c r="F37" s="185" t="n"/>
      <c r="G37" s="185" t="n"/>
      <c r="H37" s="185" t="n"/>
      <c r="I37" s="185" t="n"/>
      <c r="J37" s="185" t="n"/>
      <c r="K37" s="185" t="n"/>
      <c r="L37" s="185" t="n"/>
      <c r="M37" s="185" t="n"/>
      <c r="N37" s="186" t="n"/>
      <c r="O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</row>
  </sheetData>
  <mergeCells count="11">
    <mergeCell ref="B10:D10"/>
    <mergeCell ref="B36:N36"/>
    <mergeCell ref="B37:N37"/>
    <mergeCell ref="L10:N10"/>
    <mergeCell ref="B18:H18"/>
    <mergeCell ref="J18:L18"/>
    <mergeCell ref="B35:N35"/>
    <mergeCell ref="F10:J10"/>
    <mergeCell ref="B3:N3"/>
    <mergeCell ref="B2:N2"/>
    <mergeCell ref="B34:N34"/>
  </mergeCells>
  <pageMargins left="0.7" right="0.7" top="0.75" bottom="0.75" header="0.3" footer="0.3"/>
  <pageSetup orientation="portrait" paperSize="9" scale="26" horizontalDpi="300" verticalDpi="30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O38"/>
  <sheetViews>
    <sheetView tabSelected="1" topLeftCell="C9" workbookViewId="0">
      <selection activeCell="I9" sqref="I9"/>
    </sheetView>
  </sheetViews>
  <sheetFormatPr baseColWidth="8" defaultRowHeight="17.1"/>
  <cols>
    <col width="5" customWidth="1" min="1" max="1"/>
    <col width="8" customWidth="1" min="2" max="2"/>
    <col width="28" customWidth="1" min="3" max="3"/>
    <col width="12" customWidth="1" min="4" max="4"/>
    <col width="30" customWidth="1" min="5" max="7"/>
    <col width="40" customWidth="1" min="8" max="9"/>
    <col width="8" customWidth="1" min="10" max="10"/>
    <col width="30.625" customWidth="1" min="11" max="11"/>
    <col width="30" customWidth="1" min="12" max="12"/>
    <col width="58" customWidth="1" min="13" max="13"/>
    <col width="74" customWidth="1" min="14" max="14"/>
    <col width="45.5" customWidth="1" min="15" max="15"/>
  </cols>
  <sheetData>
    <row r="1" ht="18.95" customHeight="1">
      <c r="A1" s="118" t="inlineStr">
        <is>
          <t>기술-해외영업 월간 교류회 안건 추적 관리표 (2026년 2~5월)</t>
        </is>
      </c>
    </row>
    <row r="2">
      <c r="A2" s="116" t="inlineStr">
        <is>
          <t>작성일: 2026.05.29 | 기준: 5월 교류회 자료(Rev3) 반영 | ★ = 5월 자료에서 누락/미반영 항목</t>
        </is>
      </c>
    </row>
    <row r="3">
      <c r="A3" s="1" t="inlineStr">
        <is>
          <t>No.</t>
        </is>
      </c>
      <c r="B3" s="1" t="inlineStr">
        <is>
          <t>공장</t>
        </is>
      </c>
      <c r="C3" s="1" t="inlineStr">
        <is>
          <t>안건명</t>
        </is>
      </c>
      <c r="D3" s="1" t="inlineStr">
        <is>
          <t>관련부서</t>
        </is>
      </c>
      <c r="E3" s="1" t="inlineStr">
        <is>
          <t>2월 현황</t>
        </is>
      </c>
      <c r="F3" s="1" t="inlineStr">
        <is>
          <t>3월 현황</t>
        </is>
      </c>
      <c r="G3" s="1" t="inlineStr">
        <is>
          <t>4월 현황</t>
        </is>
      </c>
      <c r="H3" s="1" t="inlineStr">
        <is>
          <t>5월 현황</t>
        </is>
      </c>
      <c r="I3" s="1" t="inlineStr">
        <is>
          <t>6~7월 현황</t>
        </is>
      </c>
      <c r="J3" s="1" t="inlineStr">
        <is>
          <t>상태</t>
        </is>
      </c>
      <c r="K3" s="1" t="inlineStr">
        <is>
          <t>5월 누락/미반영 여부</t>
        </is>
      </c>
      <c r="L3" s="1" t="inlineStr">
        <is>
          <t>6월 이후 To-Do</t>
        </is>
      </c>
      <c r="M3" s="187" t="inlineStr">
        <is>
          <t>6,7월 진행현황</t>
        </is>
      </c>
    </row>
    <row r="4" ht="27.95" customHeight="1">
      <c r="A4" s="3" t="n">
        <v>1</v>
      </c>
      <c r="B4" s="107" t="inlineStr">
        <is>
          <t>창원</t>
        </is>
      </c>
      <c r="C4" s="3" t="inlineStr">
        <is>
          <t>High CCA 1단계</t>
        </is>
      </c>
      <c r="D4" s="3" t="inlineStr">
        <is>
          <t>미주</t>
        </is>
      </c>
      <c r="E4" s="3" t="inlineStr">
        <is>
          <t>L2~L6 1단계 사양 발행 완료
3자기관(JBI) 평가 진행 중</t>
        </is>
      </c>
      <c r="F4" s="3" t="inlineStr">
        <is>
          <t>(별도 언급 없음 - 1단계 완료 추정)</t>
        </is>
      </c>
      <c r="G4" s="3" t="inlineStr">
        <is>
          <t>(별도 언급 없음)</t>
        </is>
      </c>
      <c r="H4" s="3" t="inlineStr">
        <is>
          <t>(별도 언급 없음)</t>
        </is>
      </c>
      <c r="I4" s="3" t="n"/>
      <c r="J4" s="4" t="inlineStr">
        <is>
          <t>완료</t>
        </is>
      </c>
      <c r="K4" s="4" t="inlineStr">
        <is>
          <t>-</t>
        </is>
      </c>
      <c r="L4" s="3" t="inlineStr">
        <is>
          <t>-</t>
        </is>
      </c>
      <c r="M4" s="188" t="inlineStr">
        <is>
          <t>(7월 교류회 자료 미언급)</t>
        </is>
      </c>
    </row>
    <row r="5">
      <c r="A5" s="3" t="n">
        <v>2</v>
      </c>
      <c r="B5" s="107" t="inlineStr">
        <is>
          <t>창원</t>
        </is>
      </c>
      <c r="C5" s="3" t="inlineStr">
        <is>
          <t>High CCA 2단계</t>
        </is>
      </c>
      <c r="D5" s="3" t="inlineStr">
        <is>
          <t>미주</t>
        </is>
      </c>
      <c r="E5" s="3" t="inlineStr">
        <is>
          <t>L5/L6 2단계 PV 진행 중(~4월, 품질)</t>
        </is>
      </c>
      <c r="F5" s="3" t="inlineStr">
        <is>
          <t>L5,L6 PV 수명 조기종료 분석 중</t>
        </is>
      </c>
      <c r="G5" s="3" t="inlineStr">
        <is>
          <t>L5,L6 PV 수명 조기종료 분석 중</t>
        </is>
      </c>
      <c r="H5" s="3" t="inlineStr">
        <is>
          <t>5월 자료 미언급</t>
        </is>
      </c>
      <c r="I5" s="3" t="n"/>
      <c r="J5" s="5" t="inlineStr">
        <is>
          <t>진행중</t>
        </is>
      </c>
      <c r="K5" s="4" t="inlineStr">
        <is>
          <t>-</t>
        </is>
      </c>
      <c r="L5" s="3" t="inlineStr">
        <is>
          <t>PV 조기종료 원인 분석 완료 필요</t>
        </is>
      </c>
      <c r="M5" s="188" t="inlineStr">
        <is>
          <t>(7월 교류회 자료 미언급)</t>
        </is>
      </c>
    </row>
    <row r="6" ht="27.95" customHeight="1">
      <c r="A6" s="3" t="n">
        <v>3</v>
      </c>
      <c r="B6" s="107" t="inlineStr">
        <is>
          <t>창원</t>
        </is>
      </c>
      <c r="C6" s="3" t="inlineStr">
        <is>
          <t>BCI AGM 24F (차량용)</t>
        </is>
      </c>
      <c r="D6" s="3" t="inlineStr">
        <is>
          <t>미주</t>
        </is>
      </c>
      <c r="E6" s="3" t="inlineStr">
        <is>
          <t>1,2단계 사양 발행 완료
3자기관 평가 진행 중</t>
        </is>
      </c>
      <c r="F6" s="3" t="inlineStr">
        <is>
          <t>1,2단계 사양 발행 완료
5월 초도 발주 예상→초도 생산 대비 요청</t>
        </is>
      </c>
      <c r="G6" s="3" t="inlineStr">
        <is>
          <t>제품 사양 발행 완료</t>
        </is>
      </c>
      <c r="H6" s="3" t="inlineStr">
        <is>
          <t>양산 中</t>
        </is>
      </c>
      <c r="I6" s="3" t="n"/>
      <c r="J6" s="5" t="inlineStr">
        <is>
          <t>진행중</t>
        </is>
      </c>
      <c r="K6" s="4" t="inlineStr">
        <is>
          <t>-</t>
        </is>
      </c>
      <c r="L6" s="3" t="inlineStr">
        <is>
          <t>초도 생산 진행</t>
        </is>
      </c>
      <c r="M6" s="188" t="inlineStr">
        <is>
          <t>(7월 교류회 자료 미언급)</t>
        </is>
      </c>
    </row>
    <row r="7" ht="27.95" customHeight="1">
      <c r="A7" s="3" t="n">
        <v>4</v>
      </c>
      <c r="B7" s="107" t="inlineStr">
        <is>
          <t>창원</t>
        </is>
      </c>
      <c r="C7" s="3" t="inlineStr">
        <is>
          <t>BCI AGM 24M (마린용)</t>
        </is>
      </c>
      <c r="D7" s="3" t="inlineStr">
        <is>
          <t>미주</t>
        </is>
      </c>
      <c r="E7" s="3" t="inlineStr">
        <is>
          <t>1차 시료 기본성능 만족, 수명 진행 중
2차 시료 제작 중(~3월초)</t>
        </is>
      </c>
      <c r="F7" s="3" t="inlineStr">
        <is>
          <t>全 시료 기본성능 검증 완료
수명 평가 진행 중(~4월末)</t>
        </is>
      </c>
      <c r="G7" s="3" t="inlineStr">
        <is>
          <t>시료 기본성능 검증 완료
수명 평가 진행 중(~4월말)</t>
        </is>
      </c>
      <c r="H7" s="3" t="inlineStr">
        <is>
          <t>개발평가품 87n 만족, PV 평가中</t>
        </is>
      </c>
      <c r="I7" s="3" t="n"/>
      <c r="J7" s="5" t="inlineStr">
        <is>
          <t>진행중</t>
        </is>
      </c>
      <c r="K7" s="4" t="inlineStr">
        <is>
          <t>-</t>
        </is>
      </c>
      <c r="L7" s="3" t="inlineStr">
        <is>
          <t>수명 평가 결과 확인</t>
        </is>
      </c>
      <c r="M7" s="188" t="inlineStr">
        <is>
          <t>(7월 교류회 자료 미언급)</t>
        </is>
      </c>
    </row>
    <row r="8" ht="27.95" customHeight="1">
      <c r="A8" s="3" t="n">
        <v>5</v>
      </c>
      <c r="B8" s="107" t="inlineStr">
        <is>
          <t>창원</t>
        </is>
      </c>
      <c r="C8" s="3" t="inlineStr">
        <is>
          <t>BCI AGM 27F (차량용)</t>
        </is>
      </c>
      <c r="D8" s="3" t="inlineStr">
        <is>
          <t>미주</t>
        </is>
      </c>
      <c r="E8" s="3" t="inlineStr">
        <is>
          <t>시운전 일정 수립 중, 라인 보완(~3월)</t>
        </is>
      </c>
      <c r="F8" s="3" t="inlineStr">
        <is>
          <t>시운전 일정 수립 중(~4월)</t>
        </is>
      </c>
      <c r="G8" s="3" t="inlineStr">
        <is>
          <t>시운전 일정 수립 중(~4월)
제품사양 관련 별도 회의 예정</t>
        </is>
      </c>
      <c r="H8" s="3" t="inlineStr">
        <is>
          <t>미주팀 협의 후 개발치 않기로 협의 완료</t>
        </is>
      </c>
      <c r="I8" s="3" t="n"/>
      <c r="J8" s="5" t="inlineStr">
        <is>
          <t>진행중</t>
        </is>
      </c>
      <c r="K8" s="4" t="inlineStr">
        <is>
          <t>-</t>
        </is>
      </c>
      <c r="L8" s="3" t="inlineStr">
        <is>
          <t>시운전 완료 및 사양 회의</t>
        </is>
      </c>
      <c r="M8" s="188" t="inlineStr">
        <is>
          <t>(7월 교류회 자료 미언급)</t>
        </is>
      </c>
    </row>
    <row r="9" ht="27.95" customHeight="1">
      <c r="A9" s="3" t="n">
        <v>6</v>
      </c>
      <c r="B9" s="107" t="inlineStr">
        <is>
          <t>창원</t>
        </is>
      </c>
      <c r="C9" s="3" t="inlineStr">
        <is>
          <t>BCI AGM 27M (마린용)</t>
        </is>
      </c>
      <c r="D9" s="3" t="inlineStr">
        <is>
          <t>미주</t>
        </is>
      </c>
      <c r="E9" s="3" t="inlineStr">
        <is>
          <t>BCI 24M 검증 후 설계 진행(4월~)</t>
        </is>
      </c>
      <c r="F9" s="3" t="inlineStr">
        <is>
          <t>BCI AGM 24M 개발 검증 후 설계 진행(4월~)</t>
        </is>
      </c>
      <c r="G9" s="3" t="inlineStr">
        <is>
          <t>BCI AGM 24M 개발 검증 후 설계 검토 진행(5월~)</t>
        </is>
      </c>
      <c r="H9" s="3" t="inlineStr">
        <is>
          <t>설계 검토 中</t>
        </is>
      </c>
      <c r="I9" s="3" t="n"/>
      <c r="J9" s="5" t="inlineStr">
        <is>
          <t>진행중</t>
        </is>
      </c>
      <c r="K9" s="4" t="inlineStr">
        <is>
          <t>-</t>
        </is>
      </c>
      <c r="L9" s="3" t="inlineStr">
        <is>
          <t>설계 검토 진행</t>
        </is>
      </c>
      <c r="M9" s="188" t="inlineStr">
        <is>
          <t>(7월 교류회 자료 미언급)</t>
        </is>
      </c>
    </row>
    <row r="10" ht="27.95" customHeight="1">
      <c r="A10" s="3" t="n">
        <v>7</v>
      </c>
      <c r="B10" s="107" t="inlineStr">
        <is>
          <t>창원</t>
        </is>
      </c>
      <c r="C10" s="3" t="inlineStr">
        <is>
          <t>Club Assist向 CCA 개선품 개발</t>
        </is>
      </c>
      <c r="D10" s="3" t="inlineStr">
        <is>
          <t>미주</t>
        </is>
      </c>
      <c r="E10" s="3" t="inlineStr">
        <is>
          <t>설계 검토 중, 시료 제작(~3월)</t>
        </is>
      </c>
      <c r="F10" s="3" t="inlineStr">
        <is>
          <t>1차 시료 제작 완료
2차 시료 자재 수급(~4월)</t>
        </is>
      </c>
      <c r="G10" s="3" t="inlineStr">
        <is>
          <t>1차 시료 기본성능 평가 진행 중
2차 시료 제작(5월 초 격리판 수급)</t>
        </is>
      </c>
      <c r="H10" s="3" t="inlineStr">
        <is>
          <t>1차 시료 평가 : L2 목표치 만족, L4 : 재평가 예정
2차 시료 제작 中</t>
        </is>
      </c>
      <c r="I10" s="3" t="n"/>
      <c r="J10" s="5" t="inlineStr">
        <is>
          <t>진행중</t>
        </is>
      </c>
      <c r="K10" s="4" t="inlineStr">
        <is>
          <t>-</t>
        </is>
      </c>
      <c r="L10" s="3" t="inlineStr">
        <is>
          <t>2차 시료 제작 및 평가</t>
        </is>
      </c>
      <c r="M10" s="188" t="inlineStr">
        <is>
          <t>(7월 교류회 자료 미언급)</t>
        </is>
      </c>
    </row>
    <row r="11" ht="42" customHeight="1">
      <c r="A11" s="3" t="n">
        <v>8</v>
      </c>
      <c r="B11" s="107" t="inlineStr">
        <is>
          <t>창원</t>
        </is>
      </c>
      <c r="C11" s="3" t="inlineStr">
        <is>
          <t>AGM 색상 개발</t>
        </is>
      </c>
      <c r="D11" s="3" t="inlineStr">
        <is>
          <t>미주</t>
        </is>
      </c>
      <c r="E11" s="3" t="inlineStr">
        <is>
          <t>회색 AGM 사양 발행 완료
추가 색상(노랑,진회색) 개발 완료
→바이어 확인 회신 요청</t>
        </is>
      </c>
      <c r="F11" s="3" t="inlineStr">
        <is>
          <t>노랑/진회색 개발 완료
바이어 확인 회신 대기 중
추가 색상 개발 가능</t>
        </is>
      </c>
      <c r="G11" s="3" t="inlineStr">
        <is>
          <t>바이어 확인 회신 대기 중</t>
        </is>
      </c>
      <c r="H11" s="3" t="inlineStr">
        <is>
          <t>FMP 색상 변경 요청 시편 제작(5/28)
시편 영업 송부예정</t>
        </is>
      </c>
      <c r="I11" s="3" t="n"/>
      <c r="J11" s="6" t="inlineStr">
        <is>
          <t>지연</t>
        </is>
      </c>
      <c r="K11" s="7" t="inlineStr">
        <is>
          <t>★ 바이어 회신 여전히 대기
4개월째 정체</t>
        </is>
      </c>
      <c r="L11" s="3" t="inlineStr">
        <is>
          <t>바이어 회신 즉시 촉구</t>
        </is>
      </c>
      <c r="M11" s="188" t="inlineStr">
        <is>
          <t>(7월 교류회 자료 미언급)</t>
        </is>
      </c>
    </row>
    <row r="12" ht="42" customHeight="1">
      <c r="A12" s="3" t="n">
        <v>9</v>
      </c>
      <c r="B12" s="107" t="inlineStr">
        <is>
          <t>창원</t>
        </is>
      </c>
      <c r="C12" s="3" t="inlineStr">
        <is>
          <t>대형 AGM 개발 (트럭용)</t>
        </is>
      </c>
      <c r="D12" s="3" t="inlineStr">
        <is>
          <t>유럽</t>
        </is>
      </c>
      <c r="E12" s="3" t="inlineStr">
        <is>
          <t>설계 완료 및 제조 라인 검토 중
Need/Want 스펙 명확화 필요</t>
        </is>
      </c>
      <c r="F12" s="3" t="inlineStr">
        <is>
          <t>자재 수급 및 코드 생성 중
시료 제작 예정(~5월)</t>
        </is>
      </c>
      <c r="G12" s="3" t="inlineStr">
        <is>
          <t>자재 수급 및 코드 생성(~5월초)
재공품 제작(~4월말)
격리판 수급 후 시료 제작(5월~)</t>
        </is>
      </c>
      <c r="H12" s="3" t="inlineStr">
        <is>
          <t>6월 시료 제작 예정</t>
        </is>
      </c>
      <c r="I12" s="3" t="n"/>
      <c r="J12" s="5" t="inlineStr">
        <is>
          <t>진행중</t>
        </is>
      </c>
      <c r="K12" s="4" t="inlineStr">
        <is>
          <t>-</t>
        </is>
      </c>
      <c r="L12" s="3" t="inlineStr">
        <is>
          <t>시료 제작 결과 확인</t>
        </is>
      </c>
      <c r="M12" s="188" t="inlineStr">
        <is>
          <t>(7월 교류회 자료 미언급)</t>
        </is>
      </c>
    </row>
    <row r="13" ht="27.95" customHeight="1">
      <c r="A13" s="3" t="n">
        <v>10</v>
      </c>
      <c r="B13" s="107" t="inlineStr">
        <is>
          <t>창원</t>
        </is>
      </c>
      <c r="C13" s="3" t="inlineStr">
        <is>
          <t>BOSCH EU RFQ</t>
        </is>
      </c>
      <c r="D13" s="3" t="inlineStr">
        <is>
          <t>OE개발</t>
        </is>
      </c>
      <c r="E13" s="3" t="inlineStr">
        <is>
          <t>3자기관(ABRL) 시료 송부 완료
평가 결과 회신 예정(26.3월)</t>
        </is>
      </c>
      <c r="F13" s="3" t="inlineStr">
        <is>
          <t>평가 완료 후 결과 회신 예정(26.3월)
→ 아직 미회신</t>
        </is>
      </c>
      <c r="G13" s="3" t="inlineStr">
        <is>
          <t>BOSCH 평가 결과 회신 대기 중</t>
        </is>
      </c>
      <c r="H13" s="3" t="inlineStr">
        <is>
          <t>BOSCH 평가 결과 회신 대기 중</t>
        </is>
      </c>
      <c r="I13" s="3" t="n"/>
      <c r="J13" s="6" t="inlineStr">
        <is>
          <t>지연</t>
        </is>
      </c>
      <c r="K13" s="7" t="inlineStr">
        <is>
          <t>★ 3월 회신 예정이었으나
5월까지 미회신</t>
        </is>
      </c>
      <c r="L13" s="3" t="inlineStr">
        <is>
          <t>BOSCH 측 회신 재촉</t>
        </is>
      </c>
      <c r="M13" s="188" t="inlineStr">
        <is>
          <t>(7월 교류회 자료 미언급)</t>
        </is>
      </c>
    </row>
    <row r="14" ht="42" customHeight="1">
      <c r="A14" s="3" t="n">
        <v>11</v>
      </c>
      <c r="B14" s="107" t="inlineStr">
        <is>
          <t>창원</t>
        </is>
      </c>
      <c r="C14" s="3" t="inlineStr">
        <is>
          <t>회색 단자 보호캡 색상 추가</t>
        </is>
      </c>
      <c r="D14" s="3" t="inlineStr">
        <is>
          <t>유럽</t>
        </is>
      </c>
      <c r="E14" s="3" t="inlineStr">
        <is>
          <t>-</t>
        </is>
      </c>
      <c r="F14" s="3" t="inlineStr">
        <is>
          <t>시운전 결과 비전 검사기 검출 불가</t>
        </is>
      </c>
      <c r="G14" s="3" t="inlineStr">
        <is>
          <t>비전 검사기 업체와 검출 조건 재설정
시운전 예정(~5월 초)
바이어 재문의→회신 대기</t>
        </is>
      </c>
      <c r="H14" s="3" t="inlineStr">
        <is>
          <t>바이어 의견 회신 대기 중
내부 협력사와 개선 방안 추가 검토 중</t>
        </is>
      </c>
      <c r="I14" s="3" t="n"/>
      <c r="J14" s="5" t="inlineStr">
        <is>
          <t>진행중</t>
        </is>
      </c>
      <c r="K14" s="4" t="inlineStr">
        <is>
          <t>-</t>
        </is>
      </c>
      <c r="L14" s="3" t="inlineStr">
        <is>
          <t>시운전 결과 확인</t>
        </is>
      </c>
      <c r="M14" s="188" t="inlineStr">
        <is>
          <t>(7월 교류회 자료 미언급)</t>
        </is>
      </c>
    </row>
    <row r="15" ht="42" customHeight="1">
      <c r="A15" s="3" t="n">
        <v>12</v>
      </c>
      <c r="B15" s="107" t="inlineStr">
        <is>
          <t>창원</t>
        </is>
      </c>
      <c r="C15" s="3" t="inlineStr">
        <is>
          <t>EU 배터리 법규 대응</t>
        </is>
      </c>
      <c r="D15" s="3" t="inlineStr">
        <is>
          <t>유럽</t>
        </is>
      </c>
      <c r="E15" s="3" t="inlineStr">
        <is>
          <t>-</t>
        </is>
      </c>
      <c r="F15" s="3" t="inlineStr">
        <is>
          <t>라벨 표기(26.08~), QR 표기(27.02)
해외영업 협조 대응 요청
→별도 회의 진행</t>
        </is>
      </c>
      <c r="G15" s="3" t="inlineStr">
        <is>
          <t>(별도 언급 없음)</t>
        </is>
      </c>
      <c r="H15" s="3" t="inlineStr">
        <is>
          <t>5월 자료 미언급(창원 안건)</t>
        </is>
      </c>
      <c r="I15" s="3" t="n"/>
      <c r="J15" s="5" t="inlineStr">
        <is>
          <t>진행중</t>
        </is>
      </c>
      <c r="K15" s="4" t="inlineStr">
        <is>
          <t>-</t>
        </is>
      </c>
      <c r="L15" s="3" t="inlineStr">
        <is>
          <t>라벨 표기 준비(26.08 시행)</t>
        </is>
      </c>
      <c r="M15" s="188" t="inlineStr">
        <is>
          <t>(7월 교류회 자료 미언급)</t>
        </is>
      </c>
    </row>
    <row r="16" ht="69.95" customHeight="1">
      <c r="A16" s="3" t="n">
        <v>13</v>
      </c>
      <c r="B16" s="108" t="inlineStr">
        <is>
          <t>광주</t>
        </is>
      </c>
      <c r="C16" s="3" t="inlineStr">
        <is>
          <t>일본향 xEV용 EN 제품 개발</t>
        </is>
      </c>
      <c r="D16" s="3" t="inlineStr">
        <is>
          <t>AP</t>
        </is>
      </c>
      <c r="E16" s="3" t="inlineStr">
        <is>
          <t>6종 中 5종 개발 완료
Primium LN1 1종 추가 검증(3월 종료 예상)</t>
        </is>
      </c>
      <c r="F16" s="3" t="inlineStr">
        <is>
          <t>5종 개발 완료
LN1 추가 검증 진행 중(4월 종료 예상)</t>
        </is>
      </c>
      <c r="G16" s="3" t="inlineStr">
        <is>
          <t>5종 개발 완료
LN1 추가 검증 진행 중(6월 종료 예상)</t>
        </is>
      </c>
      <c r="H16" s="3" t="inlineStr">
        <is>
          <t>★ 5월 자료 확인:
DV 6종 中 6종 完, PV 1종 진행 중
바이어 협의 상황 공유 요청(하반기 라인업 전환)
LN1 Standard 라우팅 변경 검토(~8월, DoD 50% 50cyc 진행중)</t>
        </is>
      </c>
      <c r="I16" s="3" t="inlineStr">
        <is>
          <t>개발 결과 보고 완료(6/23)
6종 전 제품 Spec. 합격 완료
LN1 라인업 일원화 위한 라우팅 변경 검토(~8월)</t>
        </is>
      </c>
      <c r="J16" s="5" t="inlineStr">
        <is>
          <t>진행중</t>
        </is>
      </c>
      <c r="K16" s="4" t="inlineStr">
        <is>
          <t>5월 반영됨(상세 업데이트)</t>
        </is>
      </c>
      <c r="L16" s="3" t="inlineStr">
        <is>
          <t>LN1 PV 완료(~6/15)
바이어 라인업 전환 협의(하반기)</t>
        </is>
      </c>
      <c r="M16" s="189" t="inlineStr">
        <is>
          <t>■ 6월
· DV 6종 中 6종 개발 完(26.6월)
· Standard·Premium 라인업 구성 및 Spec 협의 完
■ 7월
· PV 1종 진행 中
· LN1 Standard DOD50% 63cyc 추가 검증 진행(~7/31)
· 기본성능 전 형명 목표 만족(C20 100.9~106.8%)
■ 향후계획
· PV 결과보고(~7/31)
· LN1 라인업 일원화(라우팅 통합) 검증(~8/20)
■ 협의·요청
· 바이어 협의 상황 공유 요청(영업) — 하반기 라인업 전환</t>
        </is>
      </c>
      <c r="N16" t="inlineStr">
        <is>
          <t>일본향 판매 라인업 및 향후 검토 바이어 및 예상물량 확인필요(영업 → 기술)</t>
        </is>
      </c>
    </row>
    <row r="17" ht="56.1" customHeight="1">
      <c r="A17" s="3" t="n">
        <v>14</v>
      </c>
      <c r="B17" s="108" t="inlineStr">
        <is>
          <t>광주</t>
        </is>
      </c>
      <c r="C17" s="3" t="inlineStr">
        <is>
          <t>일본향 ISS 증대 제품(BSJP)</t>
        </is>
      </c>
      <c r="D17" s="3" t="inlineStr">
        <is>
          <t>AP</t>
        </is>
      </c>
      <c r="E17" s="3" t="inlineStr">
        <is>
          <t>Q85, S95 PV 재검증 진행 중
Q85: 5월, S95: 6월 종료 예상</t>
        </is>
      </c>
      <c r="F17" s="3" t="inlineStr">
        <is>
          <t>Q85, S95 품질 PV 불만족
ISS 수명 평가(~6월)</t>
        </is>
      </c>
      <c r="G17" s="3" t="inlineStr">
        <is>
          <t>Q85, S95 PV 불만족
ISS 수명 평가(~6월)</t>
        </is>
      </c>
      <c r="H17" s="3" t="inlineStr">
        <is>
          <t>★ 5월 자료 확인:
1차 DV 만족, PV에서 Q85,S95 미달
2차 PV 39,600 진행 중
Q85, S95 ISS 수명 평가(~6월)</t>
        </is>
      </c>
      <c r="I17" s="3" t="inlineStr">
        <is>
          <t>2차 PV 목표 ISS 수명 만족
C20 용량 불만족하여 재검증 진행 예정
(강화된 품질 기준(95→103% 이상) 반영 요청)</t>
        </is>
      </c>
      <c r="J17" s="5" t="inlineStr">
        <is>
          <t>진행중</t>
        </is>
      </c>
      <c r="K17" s="4" t="inlineStr">
        <is>
          <t>5월 반영됨</t>
        </is>
      </c>
      <c r="L17" s="3" t="inlineStr">
        <is>
          <t>Q85, S95 2차 PV 결과(~6월)</t>
        </is>
      </c>
      <c r="M17" s="189" t="inlineStr">
        <is>
          <t>■ 6월
· 2차 성능검증 完 — ISS 수명 만족(Q85 45,558 / S95 50,404 cyc)
· C20 용량 불만족 확인(Q85 98.6%)
· 베트남 GIA PHAT 양산 지속(4月~, 440대, ISS 3만회 이상)
■ 7월
· 재검증 준비 단계 (별도 진행 사항 기재 없음)
■ 향후계획
· Q85 기본성능 재검증(~9월)
■ 협의·요청
· 강화된 품질기준(95→103% 이상) 반영 여부 품질팀 협의</t>
        </is>
      </c>
    </row>
    <row r="18" ht="84" customHeight="1">
      <c r="A18" s="3" t="n">
        <v>15</v>
      </c>
      <c r="B18" s="108" t="inlineStr">
        <is>
          <t>광주</t>
        </is>
      </c>
      <c r="C18" s="3" t="inlineStr">
        <is>
          <t>일본시장 충전제어용(BSJP)</t>
        </is>
      </c>
      <c r="D18" s="3" t="inlineStr">
        <is>
          <t>AP</t>
        </is>
      </c>
      <c r="E18" s="3" t="inlineStr">
        <is>
          <t>-</t>
        </is>
      </c>
      <c r="F18" s="3" t="inlineStr">
        <is>
          <t>3월 BSIJP 미팅 결과
충전수입성 &lt; 필드 수명 강조</t>
        </is>
      </c>
      <c r="G18" s="3" t="inlineStr">
        <is>
          <t>충전수입성→ISS 수명 증대 개발
RFQ 제출 예정(~5월 2째주)</t>
        </is>
      </c>
      <c r="H18" s="3" t="inlineStr">
        <is>
          <t>★ 5월 자료 확인:
충전수입성 개선률 대비 입고전압 리스크→RFQ 미제출
개발방향성 2차 협의 完(5/27)
기술: Delkor 벤치마킹(~6/19), HAMMOND 시험(~9/20)
영업: BSJP 미팅→요구 Spec 재확인(~6월)</t>
        </is>
      </c>
      <c r="I18" s="3" t="inlineStr">
        <is>
          <t>경쟁사(4개 社) 벤치마킹 진행 完
M42 샘플 제작 예정(7/15)
벤치마킹 결과 송부(~7/25)
충전수입성 성능 평가(~7/30)</t>
        </is>
      </c>
      <c r="J18" s="6" t="inlineStr">
        <is>
          <t>지연</t>
        </is>
      </c>
      <c r="K18" s="7" t="inlineStr">
        <is>
          <t>★ RFQ 미제출!
4월에 5월 제출 예정이었으나 미이행</t>
        </is>
      </c>
      <c r="L18" s="3" t="inlineStr">
        <is>
          <t>영업: BSJP 요구 Spec 재확인(~6월)
기술: 벤치마킹(~6/19)</t>
        </is>
      </c>
      <c r="M18" s="189" t="inlineStr">
        <is>
          <t>■ 6월
· DV 검증 결과 불만족 — 요구 Spec 대비 80% 수준
· 개선안 도출: 음극 신규 카본 첨가제(원가 상승 약 0.6%)
■ 7월
· 경쟁사 벤치마킹 실시 完(7/10)
  └ ATLAS·PANASONIC·ENERGYWITH·GS YUASA 비교
· M42 개선샘플 4종 생산 完(7/14, 음극 기판변경+첨가제)
· 기본성능 평가 進 中 / 충전수입성 평가(~7/28)
■ 향후계획
· 벤치마킹 시험 결과 기안 상신(7/29)
· 추가 개선안 검증 및 DV 결과보고(~9월)
■ 협의·요청
· 영업: BSJP 미팅 후 개발 Spec 공유·요구 Spec 재확인(~7/31)
· 개선안 원가 +0.6% 수용 가능 여부 영업 판단</t>
        </is>
      </c>
      <c r="N18" t="inlineStr">
        <is>
          <t>벤치마킹 결과 송부 필요(기술 → 영업)</t>
        </is>
      </c>
    </row>
    <row r="19" ht="80.25" customHeight="1">
      <c r="A19" s="3" t="n">
        <v>16</v>
      </c>
      <c r="B19" s="108" t="inlineStr">
        <is>
          <t>광주</t>
        </is>
      </c>
      <c r="C19" s="3" t="inlineStr">
        <is>
          <t>BCI 65 PH 라인업 확대</t>
        </is>
      </c>
      <c r="D19" s="3" t="inlineStr">
        <is>
          <t>미주</t>
        </is>
      </c>
      <c r="E19" s="3" t="inlineStr">
        <is>
          <t>샘플 생산 완료(2/20)
기본 성능 시험(~3월말)</t>
        </is>
      </c>
      <c r="F19" s="3" t="inlineStr">
        <is>
          <t>기본 성능 검증 결과 공유</t>
        </is>
      </c>
      <c r="G19" s="3" t="inlineStr">
        <is>
          <t>활물질 하한치 97%→100% 필요
2차 검증 예정(~5월)</t>
        </is>
      </c>
      <c r="H19" s="3" t="inlineStr">
        <is>
          <t>★ 5월 자료 확인:
1차 검증 완료(108매,120매 용량 96~99%)
활물질 3g 증대 후 재검증
추가 안정화 후 C20 재검증(~6/10)
2차 성능 검증 결과보고(~6/20)</t>
        </is>
      </c>
      <c r="I19" s="3" t="inlineStr">
        <is>
          <t>1. 개발완료보고 완료
2. 양산물량 협의 필요(0.70T 양산 가능 물량 확인필요)</t>
        </is>
      </c>
      <c r="J19" s="5" t="inlineStr">
        <is>
          <t>진행중</t>
        </is>
      </c>
      <c r="K19" s="4" t="inlineStr">
        <is>
          <t>5월 반영됨(상세 업데이트)</t>
        </is>
      </c>
      <c r="L19" s="3" t="inlineStr">
        <is>
          <t>2차 검증 결과보고(~6/20)</t>
        </is>
      </c>
      <c r="M19" s="189" t="inlineStr">
        <is>
          <t>■ 6월
· 108매·120매 (+)활물질 3g 증대 후 재검증 完
· 2차 샘플 검증 및 개발완료(26.06)
· 65-108 C20 100.4~100.8% / 65-120 C20 100.6~101.0%
■ 7월
· 양산 가능 시점 도래(7월~) — Exp/Punch 듀얼코드 판매
■ 향후계획
· 개발완료에 따른 양산 착수
■ 협의·요청
· 양산 시점 및 물량 협의 필요</t>
        </is>
      </c>
    </row>
    <row r="20" ht="69.95" customHeight="1">
      <c r="A20" s="3" t="n">
        <v>17</v>
      </c>
      <c r="B20" s="108" t="inlineStr">
        <is>
          <t>광주</t>
        </is>
      </c>
      <c r="C20" s="3" t="inlineStr">
        <is>
          <t>BCI 24 PH 라인업 확대</t>
        </is>
      </c>
      <c r="D20" s="3" t="inlineStr">
        <is>
          <t>미주</t>
        </is>
      </c>
      <c r="E20" s="3" t="inlineStr">
        <is>
          <t>Ph 라인업 확대
양산 및 설계 검증 진행 중</t>
        </is>
      </c>
      <c r="F20" s="3" t="inlineStr">
        <is>
          <t>개발 요청 Spec 회의 完(03/13)
요청서 회신 및 검토서(~04/10)</t>
        </is>
      </c>
      <c r="G20" s="3" t="inlineStr">
        <is>
          <t>검토서 진행 完(04/15)
샘플 생산 예정(~04/24)</t>
        </is>
      </c>
      <c r="H20" s="3" t="inlineStr">
        <is>
          <t>★ 5월 자료 확인:
기본성능 검증 完, J2801 2unit 중(~7/10)
BCI 24 J2801 PV 평가(~7/12)
결과보고(DV:~7/17, PV:~8/1)
Interstate 교체 샘플 15대 송부(~8/30)</t>
        </is>
      </c>
      <c r="I20" s="3" t="inlineStr">
        <is>
          <t xml:space="preserve"> 기본 ㆍ 수명성능 검증 完
PPCN 자료 요청중(INTERSTATE)
결과보고(~8/10)
 INTERSTATE 교체 샘플 필요 X</t>
        </is>
      </c>
      <c r="J20" s="5" t="inlineStr">
        <is>
          <t>진행중</t>
        </is>
      </c>
      <c r="K20" s="4" t="inlineStr">
        <is>
          <t>5월 반영됨(상세 업데이트)</t>
        </is>
      </c>
      <c r="L20" s="3" t="inlineStr">
        <is>
          <t>J2801 PV 평가(~7/12)
결과보고(~7/17)
PPCN 자료 요청</t>
        </is>
      </c>
      <c r="M20" s="189" t="inlineStr">
        <is>
          <t>■ 6월
· 기본성능 검증 完, J2801 수명성능 完(Spec. 合)
· DV: C20 83.27(104.1%) / RC 151(100.6%) / CCA 760·43sec
· J2801 9unit (Spec. 8↑ 合)
■ 7월
· Interstate 제품교체 Data sheet 양식 회신 대기 中(6/24~)
  └ Interstate 담당자 휴가로 회신 지연
■ 향후계획
· DV·PV 결과보고(~8/14)
■ 협의·요청
· Interstate 양식 회신 촉구(영업 협조)</t>
        </is>
      </c>
      <c r="N20" s="109" t="inlineStr">
        <is>
          <t>PPCN 자료 양식 수령 필요(INTERSTATE 자료 요청 및 회신 대기중-7/1)
(영업 → 기술)</t>
        </is>
      </c>
    </row>
    <row r="21" ht="84" customHeight="1">
      <c r="A21" s="3" t="n">
        <v>18</v>
      </c>
      <c r="B21" s="108" t="inlineStr">
        <is>
          <t>광주</t>
        </is>
      </c>
      <c r="C21" s="3" t="inlineStr">
        <is>
          <t>BCI 27 PH 라인업 확대</t>
        </is>
      </c>
      <c r="D21" s="3" t="inlineStr">
        <is>
          <t>미주</t>
        </is>
      </c>
      <c r="E21" s="3" t="inlineStr">
        <is>
          <t>Ph 라인업 확대
CCA 성능 및 원가 영향성 평가 중</t>
        </is>
      </c>
      <c r="F21" s="3" t="inlineStr">
        <is>
          <t>개발 요청 Spec 회의 完(03/13)
요청서 회신 및 검토서(~04/10)</t>
        </is>
      </c>
      <c r="G21" s="3" t="inlineStr">
        <is>
          <t>검토서 進 完(04/15)
수명성능 검증 진행 중(~6월)</t>
        </is>
      </c>
      <c r="H21" s="3" t="inlineStr">
        <is>
          <t>★ 5월 자료 확인:
기본성능 검증 完
J2801 8unit Spec 만족 중(~6/17)
BCI 27 J2801 PV 평가(~7/12)
결과보고(DV:~7/17, PV:~8/1)</t>
        </is>
      </c>
      <c r="I21" s="3" t="inlineStr">
        <is>
          <t xml:space="preserve"> 수명성능 검증 完
활물질 증대용 샘플 추가 제작(7/9)
증대 샘플 기본성능 검증(~7/24)
PPCN 자료 요청중(INTERSTATE)
결과보고(~8/10)
 INTERSTATE 교체 샘플 필요 X</t>
        </is>
      </c>
      <c r="J21" s="5" t="inlineStr">
        <is>
          <t>진행중</t>
        </is>
      </c>
      <c r="K21" s="4" t="inlineStr">
        <is>
          <t>5월 반영됨(상세 업데이트)</t>
        </is>
      </c>
      <c r="L21" s="3" t="inlineStr">
        <is>
          <t>J2801 PV 결과(~7/12)
Interstate 샘플 송부(~8/30)</t>
        </is>
      </c>
      <c r="M21" s="189" t="inlineStr">
        <is>
          <t>■ 6월
· J2801 수명성능 完(8unit, Spec. 合)
· 활물질 +3g 증대용 (+),(-)극판 및 샘플 제작 完
■ 7월
· 기본성능 진행 中(~7/31) / 2차 샘플 검증(~7/31)
· DV: C20 93.05(103.4%) / RC 185(108.8%) / CCA 820·36sec
■ 향후계획
· BCI 27 DV·PV 검증(~7/31)
· DV·PV 결과보고(~8/14)</t>
        </is>
      </c>
      <c r="N21" s="109" t="inlineStr">
        <is>
          <t>PPCN 자료 양식 수령 필요(INTERSTATE 자료 요청 및 회신 대기중-7/1)
(영업 → 기술)</t>
        </is>
      </c>
    </row>
    <row r="22" ht="110.25" customHeight="1">
      <c r="A22" s="3" t="n">
        <v>19</v>
      </c>
      <c r="B22" s="108" t="inlineStr">
        <is>
          <t>광주</t>
        </is>
      </c>
      <c r="C22" s="3" t="inlineStr">
        <is>
          <t>BCI 31 PH 트럭용 개발</t>
        </is>
      </c>
      <c r="D22" s="3" t="inlineStr">
        <is>
          <t>미주</t>
        </is>
      </c>
      <c r="E22" s="3" t="inlineStr">
        <is>
          <t>Interstate RFQ 기준
설계 완료 후 검토서 송부(~3월)</t>
        </is>
      </c>
      <c r="F22" s="3" t="inlineStr">
        <is>
          <t>선행 검토/H 完(03/16)
양산품/시험용 샘플 생산(~4월)</t>
        </is>
      </c>
      <c r="G22" s="3" t="inlineStr">
        <is>
          <t>양산품 성능 검증 중(~5월)
Punch 샘플 생산(~5월)
경쟁사 벤치마킹 중(~7월)</t>
        </is>
      </c>
      <c r="H22" s="3" t="inlineStr">
        <is>
          <t>★ 5월 자료 확인:
벤치마킹 결과: 경쟁사 모두 저가/성능열세 판단
Punch 개발품 샘플 제작(각10대, ~6/3)
기본성능 검증 후 설계/양산 협의(~6/22)
경쟁사 벤치마킹 결과보고(~7/30)</t>
        </is>
      </c>
      <c r="I22" s="3" t="inlineStr">
        <is>
          <t xml:space="preserve">1. PH16 1차 샘플 기본성능 검증 完
-용량 만족, CCA 불만족, 수명성능 검증 中
2. 2차 샘플 제작(7/11)
-기본 성능 검증 中(~7/24)
3. 2027~2028 신규 RFQ 대응
-M31 기본성능 만족, 수명시험 진행 中
※검토서 송부, 개발 Spec. 협의 지연
※공정 중 스티커 부착 가능 유무 선 확인 필요 </t>
        </is>
      </c>
      <c r="J22" s="5" t="inlineStr">
        <is>
          <t>진행중</t>
        </is>
      </c>
      <c r="K22" s="4" t="inlineStr">
        <is>
          <t>5월 반영됨(상세 업데이트)</t>
        </is>
      </c>
      <c r="L22" s="3" t="inlineStr">
        <is>
          <t>기본성능 검증 및 설계 협의(~6/22)
벤치마킹 보고(~7/30)</t>
        </is>
      </c>
      <c r="M22" s="189" t="inlineStr">
        <is>
          <t>■ 6월
· 선행 검토 샘플 생산 목표(~6/10) 미달
· 검토 결과 송부·개발목표 협의(~6/30) 미달
■ 7월
· 선행 검토 샘플 생산 完(7/11) — 목표 대비 약 1개월 지연
· 기본성능·수명성능 검증 中(J2801·J2185 4주 시점)
· 시험3(132매): MCCA 1197 / C20 106.3 / RC 210
· 개발 검토 결과 기안 상신 中(7/20~)
■ 향후계획
· 경쟁사(아트라스·DTR) 벤치마킹 결과보고(~7/30)
· 선행 검토 샘플 수명시험 검증(~10/16)
■ 협의·요청
· 신규 Interstate RFQ 목표 Spec 변경에 따른 개발목표 협의(~7/31)
· 성능 목표 영업 협의 필요</t>
        </is>
      </c>
    </row>
    <row r="23" ht="80.25" customHeight="1">
      <c r="A23" s="3" t="n">
        <v>20</v>
      </c>
      <c r="B23" s="108" t="inlineStr">
        <is>
          <t>광주</t>
        </is>
      </c>
      <c r="C23" s="3" t="inlineStr">
        <is>
          <t>High Spec B24 개발</t>
        </is>
      </c>
      <c r="D23" s="3" t="inlineStr">
        <is>
          <t>기술(자체)</t>
        </is>
      </c>
      <c r="E23" s="3" t="inlineStr">
        <is>
          <t>밸류맵 확보
Delco 벤치마킹 진행 중</t>
        </is>
      </c>
      <c r="F23" s="3" t="inlineStr">
        <is>
          <t>(-)극판 샘플 생산 완료(03/26)
제품 샘플 생산(~4월)
벤치마킹 결과보고(~4월)</t>
        </is>
      </c>
      <c r="G23" s="3" t="inlineStr">
        <is>
          <t>벤치마킹 결과보고 완료(04/13)
시험용 샘플 생산(~4월)</t>
        </is>
      </c>
      <c r="H23" s="3" t="inlineStr">
        <is>
          <t>★ 5월 자료 확인:
벤치마킹 결과보고 完(04/13)
제품 샘플 생산 完(05/07)
기본성능 검증 진행 중(~6월)</t>
        </is>
      </c>
      <c r="I23" s="3" t="inlineStr">
        <is>
          <t>1. 기본성능 검증 完
- 목표 성능 만족
 - 기본성능 결과보고 예정(~07/21)
2. SAE J2801 수명성능 검증 진행 中(~8월)
- 검증종료 후 종합결과보고 예정</t>
        </is>
      </c>
      <c r="J23" s="5" t="inlineStr">
        <is>
          <t>진행중</t>
        </is>
      </c>
      <c r="K23" s="4" t="inlineStr">
        <is>
          <t>5월 반영됨</t>
        </is>
      </c>
      <c r="L23" s="3" t="inlineStr">
        <is>
          <t>성능 검증(~6월)</t>
        </is>
      </c>
      <c r="M23" s="189" t="inlineStr">
        <is>
          <t>■ 6월
· 성능 평가 진행 (벤치마킹 결과보고 完 04/13, 샘플 생산 完 05/07)
■ 7월
· 성능 평가 및 개발완료(07/20)
· C20 59.99(103.4%) / RC 99~101Min(107.6~109.8%) / CCA 39~46sec
■ 향후계획
· 양산 바이어 확보 단계
■ 협의·요청
· 양산 가능 바이어 확인 요청(영업, ~7/30)</t>
        </is>
      </c>
    </row>
    <row r="24" ht="98.09999999999999" customHeight="1">
      <c r="A24" s="3" t="n">
        <v>21</v>
      </c>
      <c r="B24" s="108" t="inlineStr">
        <is>
          <t>광주</t>
        </is>
      </c>
      <c r="C24" s="3" t="inlineStr">
        <is>
          <t>High Spec D31 개발</t>
        </is>
      </c>
      <c r="D24" s="3" t="inlineStr">
        <is>
          <t>기술(자체)</t>
        </is>
      </c>
      <c r="E24" s="3" t="inlineStr">
        <is>
          <t>밸류맵 확보
Varta 벤치마킹 완료, 수명 평가 중</t>
        </is>
      </c>
      <c r="F24" s="3" t="inlineStr">
        <is>
          <t>샘플 생산 완료(03/20)
벤치마킹 결과보고(~4월)
수명성능 검증(~6월)</t>
        </is>
      </c>
      <c r="G24" s="3" t="inlineStr">
        <is>
          <t>영업 확인 요청: 고스펙 제품 시장 수요/판매 가능성</t>
        </is>
      </c>
      <c r="H24" s="3" t="inlineStr">
        <is>
          <t>★ 5월 자료 확인:
미주팀 회신: MCCA/CCA 고스펙 시장 수요 낮음→기본성능 위주 개발 요청
개선1,2 샘플 J2801 6주차 시험 중(~6월)
→전해액 Limit→용량 저하 예상
2차 비중 최적화 샘플 생산(~6/20)
양산품 VC 표기치 변경 협의(~6/5)</t>
        </is>
      </c>
      <c r="I24" s="3" t="n"/>
      <c r="J24" s="5" t="inlineStr">
        <is>
          <t>진행중</t>
        </is>
      </c>
      <c r="K24" s="4" t="inlineStr">
        <is>
          <t>5월 반영됨(영업 회신 완료)</t>
        </is>
      </c>
      <c r="L24" s="3" t="inlineStr">
        <is>
          <t>2차 샘플 생산(~6/20)
성능 검증(~8/30)
VC 표기치 협의(~6/5)</t>
        </is>
      </c>
      <c r="M24" s="189" t="inlineStr">
        <is>
          <t>■ 6월
· 2차 시험 결과 용량 목표(103%) 미달 — 개선품 20Hr 97.3(102.4%)
· 개선품 MCCA 902 / RC 193 / EN CCA 850 / J2801 11주
· VC 표기치 만족 설계변경 협의(~6/12)
■ 7월
· 3차시험(하한치 제품 100% 만족) 진행 결정
· 극판 하한치 중량 선별(~7/22) / 3차 개선샘플 생산(~7/24)
■ 향후계획
· 3차 샘플 기본성능 검증(~8/14)
■ 협의·요청
· 미주팀 회신(MCCA/CCA 고스펙 수요 낮음, 기본성능 위주 요청) 반영 여부
  └ 목표 103% 유지 / 100% 하향 확정 필요</t>
        </is>
      </c>
    </row>
    <row r="25" ht="98.09999999999999" customHeight="1">
      <c r="A25" s="3" t="n">
        <v>22</v>
      </c>
      <c r="B25" s="108" t="inlineStr">
        <is>
          <t>광주</t>
        </is>
      </c>
      <c r="C25" s="3" t="inlineStr">
        <is>
          <t>중동향 Smart EFB 개발</t>
        </is>
      </c>
      <c r="D25" s="3" t="inlineStr">
        <is>
          <t>중아</t>
        </is>
      </c>
      <c r="E25" s="3" t="inlineStr">
        <is>
          <t>선행 3종 검증 完, 2월 양산 중
추가 4종 검토 중
기본성능 후 양산 예정(4월~)</t>
        </is>
      </c>
      <c r="F25" s="3" t="inlineStr">
        <is>
          <t>LN2,D31 만족 / LN4,LN5 불만족(95%)
재검증 후 양산 협의 完(3/18)</t>
        </is>
      </c>
      <c r="G25" s="3" t="inlineStr">
        <is>
          <t>LN4,LN5 재검증 후 양산 진행 협의 完
기본성능 만족 시 양산(5월~)</t>
        </is>
      </c>
      <c r="H25" s="3" t="inlineStr">
        <is>
          <t>★ 5월 자료 확인:
D26,LN3,LBN4: 양산 중(2월~)
LN2,LN4,LN5,D31: DV/PV 完
LN4 99.3% 조건부 合→양산 진행 협의 完(5/19)
추가 개선 방안 협의(6/1)
DoD 50%(~5월)
사양 발행 및 양산: 6월</t>
        </is>
      </c>
      <c r="I25" s="3" t="inlineStr">
        <is>
          <t>-</t>
        </is>
      </c>
      <c r="J25" s="4" t="inlineStr">
        <is>
          <t>완료</t>
        </is>
      </c>
      <c r="K25" s="4" t="inlineStr">
        <is>
          <t>5월 반영됨</t>
        </is>
      </c>
      <c r="L25" s="3" t="inlineStr">
        <is>
          <t>사양 발행 및 양산(6월)
LN4 추가 개선 협의(6/1)</t>
        </is>
      </c>
      <c r="M25" s="189" t="inlineStr">
        <is>
          <t>■ 6월
· LN4 추가 개선방안 협의(6/1, 기술/품질)
· 사양 발행 완료(6/10)
· D26(S95)·LN3·LBN4 양산 지속(2월~)
■ 7월
· 특이사항 없음 (LN2·LN4·LN5·D31 DV/PV 검증 完 상태 유지)
■ 향후계획
· 현 설계 유지 양산
■ 협의·요청
· LN4 조건부 合(99.3%) 추가 개선방안 결론 필요
· 개발 완료 종수 확정(요약표 6종 / 세부 7종)</t>
        </is>
      </c>
    </row>
    <row r="26" ht="84" customHeight="1">
      <c r="A26" s="3" t="n">
        <v>23</v>
      </c>
      <c r="B26" s="108" t="inlineStr">
        <is>
          <t>광주</t>
        </is>
      </c>
      <c r="C26" s="3" t="inlineStr">
        <is>
          <t>JIS 중형 필드수명 개선품</t>
        </is>
      </c>
      <c r="D26" s="3" t="inlineStr">
        <is>
          <t>AP</t>
        </is>
      </c>
      <c r="E26" s="3" t="inlineStr">
        <is>
          <t>High MCCA, 고중량 제품 개발
벤치마킹 및 시장분석 진행</t>
        </is>
      </c>
      <c r="F26" s="3" t="inlineStr">
        <is>
          <t>D26 원가개선 설계 요청(영업)
검토서 재송부 예정(~04/15)</t>
        </is>
      </c>
      <c r="G26" s="3" t="inlineStr">
        <is>
          <t>검토서 확정(~4/28)
영업 요청 반영 재설계 중
벤치마킹 중(~7월)</t>
        </is>
      </c>
      <c r="H26" s="3" t="inlineStr">
        <is>
          <t>★ 5월 자료 확인:
설계 및 양산 적용 일정 확정(5/13)
양산 목표: 11월~
기술 홍보 자료 작성(~6/12, 기술→영업)
바이어 송부용 수량 확인 필요(~6/20, 영업)
DV/PV 샘플+바이어 송부용 생산(~6/30)</t>
        </is>
      </c>
      <c r="I26" s="3" t="inlineStr">
        <is>
          <t>기술 홍보 자료 송부 完(~6/12)
바이어 송부용 수량 확인 完 : 5대 필요 예상
샘플 생산 : 극판 생산 完, 샘플 생산 지연(~7/20)</t>
        </is>
      </c>
      <c r="J26" s="5" t="inlineStr">
        <is>
          <t>진행중</t>
        </is>
      </c>
      <c r="K26" s="4" t="inlineStr">
        <is>
          <t>5월 반영됨(상세 업데이트)</t>
        </is>
      </c>
      <c r="L26" s="3" t="inlineStr">
        <is>
          <t>영업: 바이어 송부 수량 확인(~6/20)
기술: 홍보자료(~6/12)
샘플 생산(~6/30)</t>
        </is>
      </c>
      <c r="M26" s="189" t="inlineStr">
        <is>
          <t>■ 6월
· 기술 홍보자료 송부 完(~6/12)
· 바이어 송부용 수량 확인 完(5대 필요 예상)
· 극판 생산 完(~6/15)
· 샘플 생산 6/30 목표 → 7/27로 순연
■ 7월
· DV/PV 및 바이어 송부용 샘플 생산(~7/27)
  └ 4종 中 1종만 생산 지시, 생산라인 변경에 따른 지연
■ 향후계획
· 기본성능 검증(~8/20) / 수명성능 검증(~10/20) / 양산(11월~)
■ 협의·요청
· 잔여 3종 생산 일정 확정 필요</t>
        </is>
      </c>
    </row>
    <row r="27" ht="69.95" customHeight="1">
      <c r="A27" s="3" t="n">
        <v>24</v>
      </c>
      <c r="B27" s="108" t="inlineStr">
        <is>
          <t>광주</t>
        </is>
      </c>
      <c r="C27" s="3" t="inlineStr">
        <is>
          <t>EN 중형 필드수명 개선품</t>
        </is>
      </c>
      <c r="D27" s="3" t="inlineStr">
        <is>
          <t>AP</t>
        </is>
      </c>
      <c r="E27" s="3" t="inlineStr">
        <is>
          <t>High MCCA, 고중량 제품 개발
벤치마킹 및 시장분석 진행</t>
        </is>
      </c>
      <c r="F27" s="3" t="inlineStr">
        <is>
          <t>D26 원가개선 설계 요청(영업)
검토서 재송부 예정(~04/15)</t>
        </is>
      </c>
      <c r="G27" s="3" t="inlineStr">
        <is>
          <t>검토서 확정(~4/28)
영업 요청 반영 재설계 중
벤치마킹 중(~7월)</t>
        </is>
      </c>
      <c r="H27" s="3" t="inlineStr">
        <is>
          <t>★ 5월 자료 확인:
설계 및 양산 적용 일정 확정(5/13)
양산 목표: 11월~
기술 홍보 자료 작성(~6/12)
DV/PV 샘플+바이어 송부용 생산(~6/30)</t>
        </is>
      </c>
      <c r="I27" s="3" t="inlineStr">
        <is>
          <t>기술 홍보 자료 송부 完(~6/12)
바이어 송부용 수량 확인 完 : 5대 필요 예상
샘플 생산 : 극판 생산 完, 샘플 생산 지연(~7/20)</t>
        </is>
      </c>
      <c r="J27" s="5" t="inlineStr">
        <is>
          <t>진행중</t>
        </is>
      </c>
      <c r="K27" s="4" t="inlineStr">
        <is>
          <t>5월 반영됨</t>
        </is>
      </c>
      <c r="L27" s="3" t="inlineStr">
        <is>
          <t>홍보자료(~6/12)
샘플 생산(~6/30)
양산(11월~)</t>
        </is>
      </c>
      <c r="M27" s="189" t="inlineStr">
        <is>
          <t>■ 6월
· 기술 홍보자료 송부 完(~6/12)
· 바이어 송부용 수량 확인 完(5대 필요 예상)
· 극판 생산 完(~6/15)
■ 7월
· DV/PV 및 바이어 송부용 샘플 생산 完
· 기본성능 검증 진행 中
■ 향후계획
· 기본성능 검증(~8/20) / 수명성능 검증(~10/20) / 양산(11월~)</t>
        </is>
      </c>
    </row>
    <row r="28" ht="98.09999999999999" customHeight="1">
      <c r="A28" s="3" t="n">
        <v>25</v>
      </c>
      <c r="B28" s="108" t="inlineStr">
        <is>
          <t>광주</t>
        </is>
      </c>
      <c r="C28" s="3" t="inlineStr">
        <is>
          <t>마린용 고용량 M27 개발</t>
        </is>
      </c>
      <c r="D28" s="3" t="inlineStr">
        <is>
          <t>AP</t>
        </is>
      </c>
      <c r="E28" s="3" t="inlineStr">
        <is>
          <t>Century Yuasa 요청 스펙 기준 달성
샘플 송부 完</t>
        </is>
      </c>
      <c r="F28" s="3" t="inlineStr">
        <is>
          <t>검토/H 作成 完(03/16)
자체 DV 완료 / PV 진행 중</t>
        </is>
      </c>
      <c r="G28" s="3" t="inlineStr">
        <is>
          <t>DV 완료 / PV 진행 중
Century Yuasa 시험 현황 공유 요청</t>
        </is>
      </c>
      <c r="H28" s="3" t="inlineStr">
        <is>
          <t>★ 5월 자료 확인:
DV 完, PV 진행 중(170cycle 진행 중)
PV 검증(~6월)
Century Yuasa 시험 결과 공유(~6월)
양산: 9월 예상
★ Century 外 추가 바이어 공급 가능성 확인 필요
★ AP팀: 6월 최종 리포트 회신 예정 확인(5/26)</t>
        </is>
      </c>
      <c r="I28" s="3" t="inlineStr">
        <is>
          <t>DOD 50% 수명 검증 결과 (Spec. 100cycle)
기술 : 202cycle
품질 : 164, 209cycle
Century : 117cycle 
Century 시험 시퀀스 및 시험 방법 확인 요청</t>
        </is>
      </c>
      <c r="J28" s="5" t="inlineStr">
        <is>
          <t>진행중</t>
        </is>
      </c>
      <c r="K28" s="4" t="inlineStr">
        <is>
          <t>5월 반영됨(상세 업데이트)</t>
        </is>
      </c>
      <c r="L28" s="3" t="inlineStr">
        <is>
          <t>PV 검증 완료(~6월)
Century 리포트(~6월)
양산(9월 예상)</t>
        </is>
      </c>
      <c r="M28" s="189" t="inlineStr">
        <is>
          <t>■ 6월
· 자체 DV·PV 검증 完
  └ C20 100.1~101.3% / CCA 7.51~7.72V
  └ Endurance 수명: 기술 202cyc, 품질 164·209cyc (Spec. 100cyc)
· Century Yuasa 검증 결과 리포트 회신 기한(~6/30)
■ 7월
· 별도 진행 사항 기재 없음
■ 향후계획
· 양산 9월 예상
■ 협의·요청
· Century Yuasa 검증 결과 리포트 회신 확인(6/30 기한 경과)
· 바이어/양산 시점/물량 회신 요청(AP팀)
· Century 外 추가 바이어 공급 가능성 확인</t>
        </is>
      </c>
    </row>
    <row r="29" ht="48" customHeight="1">
      <c r="A29" s="3" t="n">
        <v>26</v>
      </c>
      <c r="B29" s="108" t="inlineStr">
        <is>
          <t>광주</t>
        </is>
      </c>
      <c r="C29" s="3" t="inlineStr">
        <is>
          <t>유럽향 절감형 극판 박판화</t>
        </is>
      </c>
      <c r="D29" s="3" t="inlineStr">
        <is>
          <t>기술</t>
        </is>
      </c>
      <c r="E29" s="3" t="inlineStr">
        <is>
          <t>Varta 벤치마킹 결과
Punch 0.65T 적용 검토</t>
        </is>
      </c>
      <c r="F29" s="3" t="inlineStr">
        <is>
          <t>검토서 작성/영업 송부 完(03.17)
샘플 생산 예정(~4월)</t>
        </is>
      </c>
      <c r="G29" s="3" t="inlineStr">
        <is>
          <t>(별도 언급 없음)</t>
        </is>
      </c>
      <c r="H29" s="3" t="inlineStr">
        <is>
          <t>★ 5월 자료 확인:
샘플 생산 완료(26.05)
검증 진행 중</t>
        </is>
      </c>
      <c r="I29" s="3" t="inlineStr">
        <is>
          <t>1. 기본성능 검증 完
2. SAE J2801 수명성능 검증 진행 중(~8월)
- 검증 종료 후 종합보고 예정</t>
        </is>
      </c>
      <c r="J29" s="5" t="inlineStr">
        <is>
          <t>진행중</t>
        </is>
      </c>
      <c r="K29" s="4" t="inlineStr">
        <is>
          <t>5월 반영됨</t>
        </is>
      </c>
      <c r="L29" s="3" t="inlineStr">
        <is>
          <t>검증 결과 확인</t>
        </is>
      </c>
      <c r="M29" s="189" t="inlineStr">
        <is>
          <t>■ 6월
· 기판 두께별 기본성능 검증 完
  └ 0.70t: MCCA 611A(VARTA 544A), EN CCA 540A 만족, C20 62.1
  └ 원가 0.70t = 기존 양산 PN류(0.95t) 대비 96.8% 수준
· 기본성능 결과 유럽팀 공유 完
■ 7월
· SAE J2801 수명시험 진행 中(~8/30)
· EN DOD 50% 50cycle — VARTA 92cycle 대비 미달
  └ 수명종료 원인 분석 中
■ 향후계획
· J2801 수명성능 검증 완료(~8/30)
· DOD 50% 원인 분석 후 설계 재검토
■ 협의·요청
· PH 0.7T 개발 검토용 목표 사양 요청(LN1~LN6) — 유럽팀 회신 필요</t>
        </is>
      </c>
    </row>
    <row r="30" ht="111.95" customHeight="1">
      <c r="A30" s="3" t="n">
        <v>27</v>
      </c>
      <c r="B30" s="108" t="inlineStr">
        <is>
          <t>광주</t>
        </is>
      </c>
      <c r="C30" s="3" t="inlineStr">
        <is>
          <t>GB LN1-PN 카바 디자인 변경</t>
        </is>
      </c>
      <c r="D30" s="3" t="inlineStr">
        <is>
          <t>AP</t>
        </is>
      </c>
      <c r="E30" s="3" t="inlineStr">
        <is>
          <t>바이어별 변경 가능 여부 확인 요청</t>
        </is>
      </c>
      <c r="F30" s="3" t="inlineStr">
        <is>
          <t>ECR 송부 完(3/26)
바이어별 승인 진행</t>
        </is>
      </c>
      <c r="G30" s="3" t="inlineStr">
        <is>
          <t>ECR 송부 完
영업: 바이어별 회신(~4/10)</t>
        </is>
      </c>
      <c r="H30" s="3" t="inlineStr">
        <is>
          <t>★ 5월 자료 확인:
ECR 송부 完(3/26)
영업 회신(~4/10)</t>
        </is>
      </c>
      <c r="I30" s="3" t="n"/>
      <c r="J30" s="5" t="inlineStr">
        <is>
          <t>진행중</t>
        </is>
      </c>
      <c r="K30" s="7" t="inlineStr">
        <is>
          <t>★ 영업 회신(~4/10) 이후
결과가 5월 자료에 미반영</t>
        </is>
      </c>
      <c r="L30" s="111" t="inlineStr">
        <is>
          <t>영업 회신 결과 확인 필요
- Club Assist 현재 출장 중으로 차주 업데이트 예정 (26.6.15기준)</t>
        </is>
      </c>
      <c r="M30" s="189" t="inlineStr">
        <is>
          <t>■ 6~7월
· ECR 송부 完(3/26) 이후 진전 없음
· 7월 교류회 비고: 영업 회신 지연 中
■ 협의·요청
· 바이어별 변경 가능 여부 회신 및 기한 재설정
· 3월 송부 후 4개월째 미회신 — 에스컬레이션 검토</t>
        </is>
      </c>
      <c r="N30" s="112" t="inlineStr">
        <is>
          <t xml:space="preserve">- OE : Bosch JP 적용 중
- 유럽 : YBS 수정 요청 사항 반영 여부 확인 필요
- 중아 : Schnapp 컨펌 완료
- 미주 : 법인향 컨펌 완료
- AP : 
   GS YUASA : 바이어 문의완료. 고객사의 변경 프로세스에 맞춰 관련 서류 제출 예정
   CLUB ASSIST: 바이어 문의 완료, 6월 말 출장 시 진행방향 추가 확인 예정
</t>
        </is>
      </c>
      <c r="O30" s="91" t="n"/>
    </row>
    <row r="31" ht="111.95" customHeight="1">
      <c r="A31" s="3" t="n">
        <v>28</v>
      </c>
      <c r="B31" s="108" t="inlineStr">
        <is>
          <t>광주</t>
        </is>
      </c>
      <c r="C31" s="3" t="inlineStr">
        <is>
          <t>전해액 혼합치구 적합성 검토</t>
        </is>
      </c>
      <c r="D31" s="3" t="inlineStr">
        <is>
          <t>영업기획</t>
        </is>
      </c>
      <c r="E31" s="3" t="inlineStr">
        <is>
          <t>혼합치구 삭제 가능 여부 바이어 협의 요청</t>
        </is>
      </c>
      <c r="F31" s="3" t="inlineStr">
        <is>
          <t>회신 지연 확인</t>
        </is>
      </c>
      <c r="G31" s="3" t="inlineStr">
        <is>
          <t>4월 미언급(방치)</t>
        </is>
      </c>
      <c r="H31" s="3" t="inlineStr">
        <is>
          <t>★ 5월 자료 확인:
영업기획 1)변경 가능 여부 지속 업데이트 중
2)코드 변경 여부 확인 중
→ 3개월 만에 처음 진행 상황 확인</t>
        </is>
      </c>
      <c r="I31" s="3" t="inlineStr">
        <is>
          <t>영업기획 : 업데이트 요청
기술팀 별도 요청 메일 발송(7/1)</t>
        </is>
      </c>
      <c r="J31" s="5" t="inlineStr">
        <is>
          <t>진행중</t>
        </is>
      </c>
      <c r="K31" s="7" t="inlineStr">
        <is>
          <t>★ 방치 후 5월에 재개됨
아직 완료 아님</t>
        </is>
      </c>
      <c r="L31" s="106" t="inlineStr">
        <is>
          <t>코드 변경 진행 및
변경 확인 회신 촉구</t>
        </is>
      </c>
      <c r="M31" s="189" t="inlineStr">
        <is>
          <t>■ 6~7월
· 영업기획 1) 변경 가능 여부 지속 업데이트 中
· 영업기획 2) 코드 변경 여부 확인 中
· 7월 교류회 비고: 영업팀별 회신/수합 지연 中
■ 협의·요청
· 팀별 회신 취합 및 혼합치구 삭제 적용 바이어 현황 확정
· 2월 최초 요청 이후 5개월간 '확인 中' 상태 지속</t>
        </is>
      </c>
      <c r="N31" s="113" t="inlineStr">
        <is>
          <t xml:space="preserve">5월 생산 실적 기준 하기 바이어 지속 생산중 - 담당자에게 제품 변경 요청
BORNEO TECHNICAL (THAILAND) LTD. - VC 6/15
ACCU SERVICE NV - VC 6/15
INDUMOVIL PARTS S.I. - VC 6/15
INTERCEL GROUP B.V. - 생산 대기중인 제품 출고 이후 변경 예정
호산무역(주)
GLOBAL BATTERIER AB
</t>
        </is>
      </c>
    </row>
    <row r="32" ht="56.1" customHeight="1">
      <c r="A32" s="3" t="n">
        <v>29</v>
      </c>
      <c r="B32" s="108" t="inlineStr">
        <is>
          <t>광주</t>
        </is>
      </c>
      <c r="C32" s="3" t="inlineStr">
        <is>
          <t>저비중 SG6→SG8 변경 검토</t>
        </is>
      </c>
      <c r="D32" s="3" t="inlineStr">
        <is>
          <t>영업</t>
        </is>
      </c>
      <c r="E32" s="3" t="inlineStr">
        <is>
          <t>시장별 AMS 차량 점유율 조사
(담당: 영업, ~03/27)</t>
        </is>
      </c>
      <c r="F32" s="3" t="inlineStr">
        <is>
          <t>회신 지연 확인</t>
        </is>
      </c>
      <c r="G32" s="3" t="inlineStr">
        <is>
          <t>영업 회신 필요(~05월)</t>
        </is>
      </c>
      <c r="H32" s="3" t="inlineStr">
        <is>
          <t>★ 5월 자료 확인:
"각 팀별/바이어별 저비중→일반 비중 변경 관련
최종 의견 회신 필요"
→ 4개월째 영업 미회신, 여전히 "회신 필요" 상태</t>
        </is>
      </c>
      <c r="I32" s="3" t="n"/>
      <c r="J32" s="6" t="inlineStr">
        <is>
          <t>지연</t>
        </is>
      </c>
      <c r="K32" s="8" t="inlineStr">
        <is>
          <t>★★ 4개월째 미회신
2월 요청→5월까지 미이행</t>
        </is>
      </c>
      <c r="L32" s="114" t="inlineStr">
        <is>
          <t>저비중 SG6→SG8 변경 검토
시트 참고 (26. 6. 15 업데이트)</t>
        </is>
      </c>
      <c r="M32" s="189" t="inlineStr">
        <is>
          <t>■ 6~7월
· 각 팀별/바이어별 저비중 → 일반 비중 변경 최종 의견 회신 필요
· 7월 교류회 비고: 회신/수합 지연 中
■ 협의·요청
· 영업 각 팀 최종 의견 회신(즉시)
· 2월 요청 이후 6개월째 미회신
· 상세 바이어 현황은 '저비중 SG6→SG8 변경 검토' 시트 참고</t>
        </is>
      </c>
      <c r="N32" s="115" t="inlineStr">
        <is>
          <t>저비중 SG6→SG8 변경 검토
시트 참고 (26. 6. 15 업데이트)</t>
        </is>
      </c>
    </row>
    <row r="33" ht="42" customHeight="1">
      <c r="A33" s="3" t="n">
        <v>30</v>
      </c>
      <c r="B33" s="108" t="inlineStr">
        <is>
          <t>광주</t>
        </is>
      </c>
      <c r="C33" s="3" t="inlineStr">
        <is>
          <t>소형 단자 보호캡 형상 변경</t>
        </is>
      </c>
      <c r="D33" s="3" t="inlineStr">
        <is>
          <t>광주기술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금형 수정 및 조립 검증(~8월)
양산 적용(재고 소진 후, 10월 예상)
바이어측 ECR 발행 여부 확인 요청</t>
        </is>
      </c>
      <c r="H33" s="3" t="inlineStr">
        <is>
          <t>검토서 작성중(~6/8)</t>
        </is>
      </c>
      <c r="I33" s="3" t="n"/>
      <c r="J33" s="5" t="inlineStr">
        <is>
          <t>진행중</t>
        </is>
      </c>
      <c r="K33" s="7" t="inlineStr">
        <is>
          <t>★ 바이어 ECR 확인
결과 미반영</t>
        </is>
      </c>
      <c r="L33" s="3" t="inlineStr">
        <is>
          <t>금형 수정(~8월)
양산(10월 예상)</t>
        </is>
      </c>
      <c r="M33" s="188" t="inlineStr">
        <is>
          <t>(7월 교류회 자료 미언급)</t>
        </is>
      </c>
    </row>
    <row r="34" ht="56.1" customHeight="1">
      <c r="A34" s="3" t="n">
        <v>31</v>
      </c>
      <c r="B34" s="108" t="inlineStr">
        <is>
          <t>광주</t>
        </is>
      </c>
      <c r="C34" s="3" t="inlineStr">
        <is>
          <t>VC 요청 표준 프로세스 확정</t>
        </is>
      </c>
      <c r="D34" s="3" t="inlineStr">
        <is>
          <t>기술/영업</t>
        </is>
      </c>
      <c r="E34" s="3" t="inlineStr">
        <is>
          <t>-</t>
        </is>
      </c>
      <c r="F34" s="3" t="inlineStr">
        <is>
          <t>-</t>
        </is>
      </c>
      <c r="G34" s="3" t="inlineStr">
        <is>
          <t>-</t>
        </is>
      </c>
      <c r="H34" s="3" t="inlineStr">
        <is>
          <t>★ 5월 신규:
Case별 결재선 확정
요청 양식 개선
영업팀 배포 및 적용(6/1)</t>
        </is>
      </c>
      <c r="I34" s="110" t="inlineStr">
        <is>
          <t>-</t>
        </is>
      </c>
      <c r="J34" s="9" t="inlineStr">
        <is>
          <t>신규</t>
        </is>
      </c>
      <c r="K34" s="3" t="inlineStr">
        <is>
          <t>5월 신규 안건</t>
        </is>
      </c>
      <c r="L34" s="3" t="inlineStr">
        <is>
          <t>영업팀 배포 및 적용(6/1)</t>
        </is>
      </c>
      <c r="M34" s="188" t="inlineStr">
        <is>
          <t>(7월 교류회 자료 미언급)</t>
        </is>
      </c>
    </row>
    <row r="35" ht="56.1" customHeight="1">
      <c r="A35" s="3" t="n">
        <v>32</v>
      </c>
      <c r="B35" s="108" t="inlineStr">
        <is>
          <t>광주</t>
        </is>
      </c>
      <c r="C35" s="3" t="inlineStr">
        <is>
          <t>기술 문서 요청 프로세스 수립</t>
        </is>
      </c>
      <c r="D35" s="3" t="inlineStr">
        <is>
          <t>기술/영업</t>
        </is>
      </c>
      <c r="E35" s="3" t="inlineStr">
        <is>
          <t>-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★ 5월 신규:
Spec &amp; 표기치 일치/불일치별 Case 분류
결재선 확정
영업팀 배포 및 적용(6/1)</t>
        </is>
      </c>
      <c r="I35" s="110" t="inlineStr">
        <is>
          <t>-</t>
        </is>
      </c>
      <c r="J35" s="9" t="inlineStr">
        <is>
          <t>신규</t>
        </is>
      </c>
      <c r="K35" s="3" t="inlineStr">
        <is>
          <t>5월 신규 안건</t>
        </is>
      </c>
      <c r="L35" s="3" t="inlineStr">
        <is>
          <t>영업팀 배포 및 적용(6/1)</t>
        </is>
      </c>
      <c r="M35" s="188" t="inlineStr">
        <is>
          <t>(7월 교류회 자료 미언급)</t>
        </is>
      </c>
    </row>
    <row r="36" ht="96" customHeight="1">
      <c r="A36" s="3" t="n">
        <v>33</v>
      </c>
      <c r="B36" s="108" t="inlineStr">
        <is>
          <t>광주</t>
        </is>
      </c>
      <c r="C36" s="3" t="inlineStr">
        <is>
          <t>BCI DT류(70,75,78) CCA 성능 개선</t>
        </is>
      </c>
      <c r="D36" s="3" t="inlineStr">
        <is>
          <t>기술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-</t>
        </is>
      </c>
      <c r="H36" s="3" t="inlineStr">
        <is>
          <t>★ 5월 신규:
PH 기판 CCA 미흡→극판매수 증대 설계
전 매수 교차 검증 完, CCA 전 제품 목표 만족
75류 96매/78류 108매: 액량 Limit 용량 미달
→전해액 최적화 재검증(~6월)
BOM 변경 예정(~6월 초)</t>
        </is>
      </c>
      <c r="I36" s="3" t="inlineStr">
        <is>
          <t>1. BOM 변경 완료('26.06.24)
2. 75류 96매/78류 108매: 액량 Limit 용량 미달
→전해액 최적화 재검증(~7월)</t>
        </is>
      </c>
      <c r="J36" s="9" t="inlineStr">
        <is>
          <t>신규</t>
        </is>
      </c>
      <c r="K36" s="3" t="inlineStr">
        <is>
          <t>5월 신규 안건</t>
        </is>
      </c>
      <c r="L36" s="3" t="inlineStr">
        <is>
          <t>BOM 변경(~6월 초)
전해액 최적화(~6월)</t>
        </is>
      </c>
      <c r="M36" s="188" t="inlineStr">
        <is>
          <t>(7월 교류회 자료 미언급)</t>
        </is>
      </c>
    </row>
    <row r="37" ht="69.95" customHeight="1">
      <c r="A37" s="3" t="n">
        <v>34</v>
      </c>
      <c r="B37" s="108" t="inlineStr">
        <is>
          <t>광주</t>
        </is>
      </c>
      <c r="C37" s="3" t="inlineStr">
        <is>
          <t>JIS 소형 EFB 충전수입성 증대 개발</t>
        </is>
      </c>
      <c r="D37" s="3" t="inlineStr">
        <is>
          <t>OE개발</t>
        </is>
      </c>
      <c r="E37" s="3" t="inlineStr">
        <is>
          <t>-</t>
        </is>
      </c>
      <c r="F37" s="3" t="inlineStr">
        <is>
          <t>-</t>
        </is>
      </c>
      <c r="G37" s="3" t="inlineStr">
        <is>
          <t>-</t>
        </is>
      </c>
      <c r="H37" s="3" t="inlineStr">
        <is>
          <t>★ 5월 신규:
벤치마킹(M42, Delkor 2EA) 진행 중
기본성능(~6/15), 충전수입성능(~6/19)
개발 방향성 회의 진행(5/28)
BSIJP 협의 및 Spec 확정 예정</t>
        </is>
      </c>
      <c r="I37" s="3" t="n"/>
      <c r="J37" s="9" t="inlineStr">
        <is>
          <t>신규</t>
        </is>
      </c>
      <c r="K37" s="3" t="inlineStr">
        <is>
          <t>5월 신규 안건</t>
        </is>
      </c>
      <c r="L37" s="3" t="inlineStr">
        <is>
          <t>Spec 확정 후 개발 착수</t>
        </is>
      </c>
      <c r="M37" s="189" t="inlineStr">
        <is>
          <t>■ 6~7월
· 개발 방향성 회의 진행(5/27)
· 벤치마킹 후 BSJP 협의 예정 — 5월 대비 진전 내용 없음
■ 협의·요청
· BSJP 협의 및 요구 Spec 확정
· No.15(일본시장 충전제어용)와 동일 과제로 보임 — 통합 관리 검토</t>
        </is>
      </c>
    </row>
    <row r="38" ht="56.1" customHeight="1">
      <c r="A38" s="3" t="n">
        <v>35</v>
      </c>
      <c r="B38" s="108" t="inlineStr">
        <is>
          <t>광주</t>
        </is>
      </c>
      <c r="C38" s="3" t="inlineStr">
        <is>
          <t>독일향 제품 EN CCA 표기치 증대 검토</t>
        </is>
      </c>
      <c r="D38" s="3" t="inlineStr">
        <is>
          <t>유럽/품질</t>
        </is>
      </c>
      <c r="E38" s="3" t="inlineStr">
        <is>
          <t>-</t>
        </is>
      </c>
      <c r="F38" s="3" t="inlineStr">
        <is>
          <t>-</t>
        </is>
      </c>
      <c r="G38" s="3" t="inlineStr">
        <is>
          <t>-</t>
        </is>
      </c>
      <c r="H38" s="3" t="inlineStr">
        <is>
          <t>-</t>
        </is>
      </c>
      <c r="I38" s="3" t="inlineStr">
        <is>
          <t>1. 요청 리스트 수신 및 검토 (7/2)
* 제품내역 : LN0 외 총 15종
2. 샘플 생산요청 완료 (7/9)
3. 기본/수명 성능 검증 진행중 (7/14~)</t>
        </is>
      </c>
      <c r="J38" s="9" t="inlineStr">
        <is>
          <t>신규</t>
        </is>
      </c>
      <c r="K38" s="3" t="inlineStr">
        <is>
          <t>7월 신규 안건</t>
        </is>
      </c>
      <c r="L38" s="3" t="inlineStr">
        <is>
          <t>품질팀 결과 공유 및 검토 요청</t>
        </is>
      </c>
      <c r="M38" s="188" t="inlineStr">
        <is>
          <t>(7월 교류회 자료 미언급)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K37"/>
  <sheetViews>
    <sheetView workbookViewId="0">
      <selection activeCell="L12" sqref="L12"/>
    </sheetView>
  </sheetViews>
  <sheetFormatPr baseColWidth="8" defaultRowHeight="17.1"/>
  <cols>
    <col width="5" customWidth="1" min="1" max="1"/>
    <col width="8" customWidth="1" min="2" max="3"/>
    <col width="25" customWidth="1" min="4" max="4"/>
    <col width="15" customWidth="1" min="5" max="5"/>
    <col width="42" customWidth="1" min="6" max="6"/>
    <col width="20" customWidth="1" min="7" max="7"/>
    <col width="35" customWidth="1" min="8" max="8"/>
  </cols>
  <sheetData>
    <row r="1" ht="18.95" customHeight="1">
      <c r="A1" s="118" t="inlineStr">
        <is>
          <t>6월 이후 주요 액션 아이템 목록 (5월 교류회 자료 기반 업데이트)</t>
        </is>
      </c>
      <c r="I1" s="117" t="n"/>
      <c r="J1" s="117" t="n"/>
      <c r="K1" s="117" t="n"/>
    </row>
    <row r="2">
      <c r="A2" s="116" t="inlineStr">
        <is>
          <t>작성일: 2026.05.29 | 5월 교류회 자료 Rev3 반영</t>
        </is>
      </c>
      <c r="I2" s="117" t="n"/>
      <c r="J2" s="117" t="n"/>
      <c r="K2" s="117" t="n"/>
    </row>
    <row r="3">
      <c r="A3" s="1" t="inlineStr">
        <is>
          <t>No.</t>
        </is>
      </c>
      <c r="B3" s="1" t="inlineStr">
        <is>
          <t>우선순위</t>
        </is>
      </c>
      <c r="C3" s="1" t="inlineStr">
        <is>
          <t>공장</t>
        </is>
      </c>
      <c r="D3" s="1" t="inlineStr">
        <is>
          <t>안건명</t>
        </is>
      </c>
      <c r="E3" s="1" t="inlineStr">
        <is>
          <t>담당</t>
        </is>
      </c>
      <c r="F3" s="1" t="inlineStr">
        <is>
          <t>액션 내용</t>
        </is>
      </c>
      <c r="G3" s="1" t="inlineStr">
        <is>
          <t>기한</t>
        </is>
      </c>
      <c r="H3" s="1" t="inlineStr">
        <is>
          <t>비고</t>
        </is>
      </c>
      <c r="I3" s="117" t="n"/>
      <c r="J3" s="117" t="n"/>
      <c r="K3" s="117" t="n"/>
    </row>
    <row r="4" ht="27.95" customHeight="1">
      <c r="A4" s="3" t="n">
        <v>1</v>
      </c>
      <c r="B4" s="8" t="inlineStr">
        <is>
          <t>긴급</t>
        </is>
      </c>
      <c r="C4" s="3" t="inlineStr">
        <is>
          <t>광주</t>
        </is>
      </c>
      <c r="D4" s="3" t="inlineStr">
        <is>
          <t>저비중 SG6→SG8</t>
        </is>
      </c>
      <c r="E4" s="3" t="inlineStr">
        <is>
          <t>영업</t>
        </is>
      </c>
      <c r="F4" s="3" t="inlineStr">
        <is>
          <t>각 팀별/바이어별 저비중→일반 비중 변경 최종 의견 회신</t>
        </is>
      </c>
      <c r="G4" s="3" t="inlineStr">
        <is>
          <t>즉시</t>
        </is>
      </c>
      <c r="H4" s="3" t="inlineStr">
        <is>
          <t>★★ 4개월째 미회신(2월 요청)
5월 자료에도 여전히 "회신 필요" 상태</t>
        </is>
      </c>
      <c r="I4" s="117" t="n"/>
      <c r="J4" s="117" t="n"/>
      <c r="K4" s="117" t="n"/>
    </row>
    <row r="5" ht="27.95" customHeight="1">
      <c r="A5" s="3" t="n">
        <v>2</v>
      </c>
      <c r="B5" s="8" t="inlineStr">
        <is>
          <t>긴급</t>
        </is>
      </c>
      <c r="C5" s="3" t="inlineStr">
        <is>
          <t>광주</t>
        </is>
      </c>
      <c r="D5" s="3" t="inlineStr">
        <is>
          <t>충전제어용 BSJP RFQ</t>
        </is>
      </c>
      <c r="E5" s="3" t="inlineStr">
        <is>
          <t>영업/기술</t>
        </is>
      </c>
      <c r="F5" s="3" t="inlineStr">
        <is>
          <t>영업: BSJP 미팅→요구 Spec 재확인
기술: Delkor 벤치마킹→충전수입성 확인</t>
        </is>
      </c>
      <c r="G5" s="3" t="inlineStr">
        <is>
          <t>영업: ~6월
기술: ~6/19</t>
        </is>
      </c>
      <c r="H5" s="3" t="inlineStr">
        <is>
          <t>★ 4월에 5월 제출 예정이었으나 RFQ 미제출
입고전압 리스크로 보류 상태</t>
        </is>
      </c>
      <c r="I5" s="117" t="n"/>
      <c r="J5" s="117" t="n"/>
      <c r="K5" s="117" t="n"/>
    </row>
    <row r="6" ht="27.95" customHeight="1">
      <c r="A6" s="3" t="n">
        <v>3</v>
      </c>
      <c r="B6" s="8" t="inlineStr">
        <is>
          <t>긴급</t>
        </is>
      </c>
      <c r="C6" s="3" t="inlineStr">
        <is>
          <t>광주</t>
        </is>
      </c>
      <c r="D6" s="3" t="inlineStr">
        <is>
          <t>BCI 65 2차 검증</t>
        </is>
      </c>
      <c r="E6" s="3" t="inlineStr">
        <is>
          <t>기술</t>
        </is>
      </c>
      <c r="F6" s="3" t="inlineStr">
        <is>
          <t>활물질 증대 후 C20 재검증
2차 성능 검증 결과보고</t>
        </is>
      </c>
      <c r="G6" s="3" t="inlineStr">
        <is>
          <t>재검증: ~6/10
결과보고: ~6/20</t>
        </is>
      </c>
      <c r="H6" s="3" t="inlineStr">
        <is>
          <t>1차 검증에서 108매/120매 용량 미달</t>
        </is>
      </c>
      <c r="I6" s="117" t="n"/>
      <c r="J6" s="117" t="n"/>
      <c r="K6" s="117" t="n"/>
    </row>
    <row r="7">
      <c r="A7" s="3" t="n">
        <v>4</v>
      </c>
      <c r="B7" s="8" t="inlineStr">
        <is>
          <t>긴급</t>
        </is>
      </c>
      <c r="C7" s="3" t="inlineStr">
        <is>
          <t>광주</t>
        </is>
      </c>
      <c r="D7" s="3" t="inlineStr">
        <is>
          <t>High Spec D31 VC 표기치</t>
        </is>
      </c>
      <c r="E7" s="3" t="inlineStr">
        <is>
          <t>기술/영업</t>
        </is>
      </c>
      <c r="F7" s="3" t="inlineStr">
        <is>
          <t>양산품 VC 표기치 만족을 위한 제품 변경 협의</t>
        </is>
      </c>
      <c r="G7" s="3" t="inlineStr">
        <is>
          <t>~6/5</t>
        </is>
      </c>
      <c r="H7" s="3" t="inlineStr">
        <is>
          <t>전해액 Limit 발생→용량 저하 예상</t>
        </is>
      </c>
      <c r="I7" s="117" t="n"/>
      <c r="J7" s="117" t="n"/>
      <c r="K7" s="117" t="n"/>
    </row>
    <row r="8" ht="27.95" customHeight="1">
      <c r="A8" s="3" t="n">
        <v>5</v>
      </c>
      <c r="B8" s="8" t="inlineStr">
        <is>
          <t>긴급</t>
        </is>
      </c>
      <c r="C8" s="3" t="inlineStr">
        <is>
          <t>광주</t>
        </is>
      </c>
      <c r="D8" s="3" t="inlineStr">
        <is>
          <t>BCI DT류 CCA BOM 변경</t>
        </is>
      </c>
      <c r="E8" s="3" t="inlineStr">
        <is>
          <t>기술</t>
        </is>
      </c>
      <c r="F8" s="3" t="inlineStr">
        <is>
          <t>검증 완료된 CCA 성능 영업 공유 후 BOM 변경
75류 96매/78류 108매 전해액 최적화</t>
        </is>
      </c>
      <c r="G8" s="3" t="inlineStr">
        <is>
          <t>~6월 초</t>
        </is>
      </c>
      <c r="H8" s="3" t="inlineStr">
        <is>
          <t>5월 신규 안건, 전 제품 검증 完</t>
        </is>
      </c>
      <c r="I8" s="117" t="n"/>
      <c r="J8" s="117" t="n"/>
      <c r="K8" s="117" t="n"/>
    </row>
    <row r="9" ht="27.95" customHeight="1">
      <c r="A9" s="3" t="n">
        <v>6</v>
      </c>
      <c r="B9" s="7" t="inlineStr">
        <is>
          <t>높음</t>
        </is>
      </c>
      <c r="C9" s="3" t="inlineStr">
        <is>
          <t>광주</t>
        </is>
      </c>
      <c r="D9" s="3" t="inlineStr">
        <is>
          <t>BCI 24,27 J2801 수명 평가</t>
        </is>
      </c>
      <c r="E9" s="3" t="inlineStr">
        <is>
          <t>기술</t>
        </is>
      </c>
      <c r="F9" s="3" t="inlineStr">
        <is>
          <t>BCI 24: J2801 2unit 진행 중
BCI 27: J2801 8unit 진행 중(Spec 만족)</t>
        </is>
      </c>
      <c r="G9" s="3" t="inlineStr">
        <is>
          <t>BCI 27: ~6/17
BCI 24: ~7/10</t>
        </is>
      </c>
      <c r="H9" s="3" t="inlineStr">
        <is>
          <t>PV 평가(~7/12), 결과보고(DV:~7/17)</t>
        </is>
      </c>
      <c r="I9" s="117" t="n"/>
      <c r="J9" s="117" t="n"/>
      <c r="K9" s="117" t="n"/>
    </row>
    <row r="10" ht="27.95" customHeight="1">
      <c r="A10" s="3" t="n">
        <v>7</v>
      </c>
      <c r="B10" s="7" t="inlineStr">
        <is>
          <t>높음</t>
        </is>
      </c>
      <c r="C10" s="3" t="inlineStr">
        <is>
          <t>광주</t>
        </is>
      </c>
      <c r="D10" s="3" t="inlineStr">
        <is>
          <t>BCI 31 기본성능 검증/설계 협의</t>
        </is>
      </c>
      <c r="E10" s="3" t="inlineStr">
        <is>
          <t>기술</t>
        </is>
      </c>
      <c r="F10" s="3" t="inlineStr">
        <is>
          <t>Punch 개발품 샘플 기본성능 검증
설계 및 양산 협의</t>
        </is>
      </c>
      <c r="G10" s="3" t="inlineStr">
        <is>
          <t>~6/22</t>
        </is>
      </c>
      <c r="H10" s="3" t="inlineStr">
        <is>
          <t>경쟁사 벤치마킹 결과보고(~7/30)</t>
        </is>
      </c>
      <c r="I10" s="117" t="n"/>
      <c r="J10" s="117" t="n"/>
      <c r="K10" s="117" t="n"/>
    </row>
    <row r="11" ht="27.95" customHeight="1">
      <c r="A11" s="3" t="n">
        <v>8</v>
      </c>
      <c r="B11" s="7" t="inlineStr">
        <is>
          <t>높음</t>
        </is>
      </c>
      <c r="C11" s="3" t="inlineStr">
        <is>
          <t>광주</t>
        </is>
      </c>
      <c r="D11" s="3" t="inlineStr">
        <is>
          <t>중동향 SMART EFB 양산</t>
        </is>
      </c>
      <c r="E11" s="3" t="inlineStr">
        <is>
          <t>기술/영업</t>
        </is>
      </c>
      <c r="F11" s="3" t="inlineStr">
        <is>
          <t>LN4 추가 개선 방안 협의(6/1)
사양 발행 및 양산 착수</t>
        </is>
      </c>
      <c r="G11" s="3" t="inlineStr">
        <is>
          <t>~6월</t>
        </is>
      </c>
      <c r="H11" s="3" t="inlineStr">
        <is>
          <t>LN4 99.3% 조건부 合</t>
        </is>
      </c>
      <c r="I11" s="117" t="n"/>
      <c r="J11" s="117" t="n"/>
      <c r="K11" s="117" t="n"/>
    </row>
    <row r="12" ht="42" customHeight="1">
      <c r="A12" s="3" t="n">
        <v>9</v>
      </c>
      <c r="B12" s="7" t="inlineStr">
        <is>
          <t>높음</t>
        </is>
      </c>
      <c r="C12" s="3" t="inlineStr">
        <is>
          <t>광주</t>
        </is>
      </c>
      <c r="D12" s="3" t="inlineStr">
        <is>
          <t>JIS/EN 필드수명 개선품</t>
        </is>
      </c>
      <c r="E12" s="3" t="inlineStr">
        <is>
          <t>기술/영업</t>
        </is>
      </c>
      <c r="F12" s="3" t="inlineStr">
        <is>
          <t>기술 홍보자료 작성(→영업)
영업: 바이어 송부용 배터리 수량 확인
DV/PV 샘플 및 바이어 송부용 생산</t>
        </is>
      </c>
      <c r="G12" s="3" t="inlineStr">
        <is>
          <t>홍보자료: ~6/12
수량확인: ~6/20
생산: ~6/30</t>
        </is>
      </c>
      <c r="H12" s="3" t="inlineStr">
        <is>
          <t>양산 목표: 11월~</t>
        </is>
      </c>
      <c r="I12" s="117" t="n"/>
      <c r="J12" s="117" t="n"/>
      <c r="K12" s="117" t="n"/>
    </row>
    <row r="13" ht="42" customHeight="1">
      <c r="A13" s="3" t="n">
        <v>10</v>
      </c>
      <c r="B13" s="7" t="inlineStr">
        <is>
          <t>높음</t>
        </is>
      </c>
      <c r="C13" s="3" t="inlineStr">
        <is>
          <t>광주</t>
        </is>
      </c>
      <c r="D13" s="3" t="inlineStr">
        <is>
          <t>마린용 M27 PV 검증/양산</t>
        </is>
      </c>
      <c r="E13" s="3" t="inlineStr">
        <is>
          <t>기술/AP</t>
        </is>
      </c>
      <c r="F13" s="3" t="inlineStr">
        <is>
          <t>PV 검증 완료
Century Yuasa 시험 결과 공유
Century 外 추가 바이어 공급 가능성 확인</t>
        </is>
      </c>
      <c r="G13" s="3" t="inlineStr">
        <is>
          <t>PV/리포트: ~6월
양산: 9월 예상</t>
        </is>
      </c>
      <c r="H13" s="3" t="inlineStr">
        <is>
          <t>AP팀 6월 리포트 회신 예정 확인(5/26)</t>
        </is>
      </c>
      <c r="I13" s="117" t="n"/>
      <c r="J13" s="117" t="n"/>
      <c r="K13" s="117" t="n"/>
    </row>
    <row r="14" ht="42" customHeight="1">
      <c r="A14" s="3" t="n">
        <v>11</v>
      </c>
      <c r="B14" s="7" t="inlineStr">
        <is>
          <t>높음</t>
        </is>
      </c>
      <c r="C14" s="3" t="inlineStr">
        <is>
          <t>광주</t>
        </is>
      </c>
      <c r="D14" s="3" t="inlineStr">
        <is>
          <t>xEV용 LN1 Premium PV</t>
        </is>
      </c>
      <c r="E14" s="3" t="inlineStr">
        <is>
          <t>기술/AP</t>
        </is>
      </c>
      <c r="F14" s="3" t="inlineStr">
        <is>
          <t>LN1 Premium DoD 50% PV 완료
바이어 라인업 전환 협의 상황 공유
LN1 Standard 라우팅 변경 검토</t>
        </is>
      </c>
      <c r="G14" s="3" t="inlineStr">
        <is>
          <t>PV: ~6/15
라우팅: ~8월</t>
        </is>
      </c>
      <c r="H14" s="3" t="inlineStr">
        <is>
          <t>하반기 라인업 전환 예정</t>
        </is>
      </c>
      <c r="I14" s="117" t="n"/>
      <c r="J14" s="117" t="n"/>
      <c r="K14" s="117" t="n"/>
    </row>
    <row r="15" hidden="1" ht="27.95" customHeight="1">
      <c r="A15" s="3" t="n">
        <v>12</v>
      </c>
      <c r="B15" s="7" t="inlineStr">
        <is>
          <t>높음</t>
        </is>
      </c>
      <c r="C15" s="3" t="inlineStr">
        <is>
          <t>창원</t>
        </is>
      </c>
      <c r="D15" s="3" t="inlineStr">
        <is>
          <t>AGM 색상 개발 바이어 회신</t>
        </is>
      </c>
      <c r="E15" s="3" t="inlineStr">
        <is>
          <t>영업(미주)</t>
        </is>
      </c>
      <c r="F15" s="3" t="inlineStr">
        <is>
          <t>노랑/진회색 바이어 확인 회신 촉구
추가 색상 Target/예상물량 확인</t>
        </is>
      </c>
      <c r="G15" s="3" t="inlineStr">
        <is>
          <t>즉시</t>
        </is>
      </c>
      <c r="H15" s="3" t="inlineStr">
        <is>
          <t>★ 2월부터 4개월째 대기
5월 자료 미언급</t>
        </is>
      </c>
      <c r="I15" s="117" t="n"/>
      <c r="J15" s="117" t="n"/>
      <c r="K15" s="117" t="n"/>
    </row>
    <row r="16" hidden="1" ht="27.95" customHeight="1">
      <c r="A16" s="3" t="n">
        <v>13</v>
      </c>
      <c r="B16" s="7" t="inlineStr">
        <is>
          <t>높음</t>
        </is>
      </c>
      <c r="C16" s="3" t="inlineStr">
        <is>
          <t>창원</t>
        </is>
      </c>
      <c r="D16" s="3" t="inlineStr">
        <is>
          <t>BOSCH EU RFQ 결과</t>
        </is>
      </c>
      <c r="E16" s="3" t="inlineStr">
        <is>
          <t>OE개발</t>
        </is>
      </c>
      <c r="F16" s="3" t="inlineStr">
        <is>
          <t>BOSCH 평가 결과 회신 확인 및 재촉</t>
        </is>
      </c>
      <c r="G16" s="3" t="inlineStr">
        <is>
          <t>즉시</t>
        </is>
      </c>
      <c r="H16" s="3" t="inlineStr">
        <is>
          <t>★ 3월 회신 예정이었으나 5월까지 미회신
5월 자료에도 미언급</t>
        </is>
      </c>
      <c r="I16" s="117" t="n"/>
      <c r="J16" s="117" t="n"/>
      <c r="K16" s="117" t="n"/>
    </row>
    <row r="17">
      <c r="A17" s="3" t="n">
        <v>14</v>
      </c>
      <c r="B17" s="5" t="inlineStr">
        <is>
          <t>보통</t>
        </is>
      </c>
      <c r="C17" s="3" t="inlineStr">
        <is>
          <t>광주</t>
        </is>
      </c>
      <c r="D17" s="3" t="inlineStr">
        <is>
          <t>전해액 혼합치구</t>
        </is>
      </c>
      <c r="E17" s="3" t="inlineStr">
        <is>
          <t>영업기획</t>
        </is>
      </c>
      <c r="F17" s="3" t="inlineStr">
        <is>
          <t>변경 가능 바이어 업데이트 및 코드 변경 확인 완료</t>
        </is>
      </c>
      <c r="G17" s="3" t="inlineStr">
        <is>
          <t>~6월</t>
        </is>
      </c>
      <c r="H17" s="3" t="inlineStr">
        <is>
          <t>방치 후 5월에 재개됨</t>
        </is>
      </c>
      <c r="I17" s="117" t="n"/>
      <c r="J17" s="117" t="n"/>
      <c r="K17" s="117" t="n"/>
    </row>
    <row r="18">
      <c r="A18" s="3" t="n">
        <v>15</v>
      </c>
      <c r="B18" s="5" t="inlineStr">
        <is>
          <t>보통</t>
        </is>
      </c>
      <c r="C18" s="3" t="inlineStr">
        <is>
          <t>광주</t>
        </is>
      </c>
      <c r="D18" s="3" t="inlineStr">
        <is>
          <t>GB LN1-PN ECR</t>
        </is>
      </c>
      <c r="E18" s="3" t="inlineStr">
        <is>
          <t>영업(AP)</t>
        </is>
      </c>
      <c r="F18" s="3" t="inlineStr">
        <is>
          <t>바이어별 변경 승인 결과 확인</t>
        </is>
      </c>
      <c r="G18" s="3" t="inlineStr">
        <is>
          <t>확인 필요</t>
        </is>
      </c>
      <c r="H18" s="3" t="inlineStr">
        <is>
          <t>★ 4/10 회신 예정이었으나 결과 미반영</t>
        </is>
      </c>
      <c r="I18" s="117" t="n"/>
      <c r="J18" s="117" t="n"/>
      <c r="K18" s="117" t="n"/>
    </row>
    <row r="19" ht="42" customHeight="1">
      <c r="A19" s="3" t="n">
        <v>16</v>
      </c>
      <c r="B19" s="5" t="inlineStr">
        <is>
          <t>보통</t>
        </is>
      </c>
      <c r="C19" s="3" t="inlineStr">
        <is>
          <t>광주</t>
        </is>
      </c>
      <c r="D19" s="3" t="inlineStr">
        <is>
          <t>High Spec D31 2차 샘플</t>
        </is>
      </c>
      <c r="E19" s="3" t="inlineStr">
        <is>
          <t>기술</t>
        </is>
      </c>
      <c r="F19" s="3" t="inlineStr">
        <is>
          <t>비중 최적화 샘플 생산
기본성능 및 수명 성능 검증</t>
        </is>
      </c>
      <c r="G19" s="3" t="inlineStr">
        <is>
          <t>생산: ~6/20
성능: ~7/3
수명: ~8/30</t>
        </is>
      </c>
      <c r="H19" s="3" t="inlineStr">
        <is>
          <t>전해액 Limit 해결 필요</t>
        </is>
      </c>
      <c r="I19" s="117" t="n"/>
      <c r="J19" s="117" t="n"/>
      <c r="K19" s="117" t="n"/>
    </row>
    <row r="20" hidden="1">
      <c r="A20" s="3" t="n">
        <v>17</v>
      </c>
      <c r="B20" s="5" t="inlineStr">
        <is>
          <t>보통</t>
        </is>
      </c>
      <c r="C20" s="3" t="inlineStr">
        <is>
          <t>창원</t>
        </is>
      </c>
      <c r="D20" s="3" t="inlineStr">
        <is>
          <t>BCI AGM 24F 초도 생산</t>
        </is>
      </c>
      <c r="E20" s="3" t="inlineStr">
        <is>
          <t>기술(창원)</t>
        </is>
      </c>
      <c r="F20" s="3" t="inlineStr">
        <is>
          <t>초도 발주 대비 생산 준비</t>
        </is>
      </c>
      <c r="G20" s="3" t="inlineStr">
        <is>
          <t>진행 중</t>
        </is>
      </c>
      <c r="H20" s="3" t="inlineStr">
        <is>
          <t>3월에 5월 초도 발주 예상</t>
        </is>
      </c>
      <c r="I20" s="117" t="n"/>
      <c r="J20" s="117" t="n"/>
      <c r="K20" s="117" t="n"/>
    </row>
    <row r="21" hidden="1">
      <c r="A21" s="3" t="n">
        <v>18</v>
      </c>
      <c r="B21" s="5" t="inlineStr">
        <is>
          <t>보통</t>
        </is>
      </c>
      <c r="C21" s="3" t="inlineStr">
        <is>
          <t>창원</t>
        </is>
      </c>
      <c r="D21" s="3" t="inlineStr">
        <is>
          <t>회색 단자 보호캡 시운전</t>
        </is>
      </c>
      <c r="E21" s="3" t="inlineStr">
        <is>
          <t>기술(창원)/유럽</t>
        </is>
      </c>
      <c r="F21" s="3" t="inlineStr">
        <is>
          <t>비전 검사기 검출 조건 재설정 시운전 결과 확인</t>
        </is>
      </c>
      <c r="G21" s="3" t="inlineStr">
        <is>
          <t>확인 필요</t>
        </is>
      </c>
      <c r="H21" s="3" t="inlineStr">
        <is>
          <t>바이어 재문의 회신 대기</t>
        </is>
      </c>
      <c r="I21" s="117" t="n"/>
      <c r="J21" s="117" t="n"/>
      <c r="K21" s="117" t="n"/>
    </row>
    <row r="22" ht="27.95" customHeight="1">
      <c r="A22" s="3" t="n">
        <v>19</v>
      </c>
      <c r="B22" s="5" t="inlineStr">
        <is>
          <t>보통</t>
        </is>
      </c>
      <c r="C22" s="3" t="inlineStr">
        <is>
          <t>광주</t>
        </is>
      </c>
      <c r="D22" s="3" t="inlineStr">
        <is>
          <t>소형 단자 보호캡 형상 변경</t>
        </is>
      </c>
      <c r="E22" s="3" t="inlineStr">
        <is>
          <t>광주기술</t>
        </is>
      </c>
      <c r="F22" s="3" t="inlineStr">
        <is>
          <t>금형 수정 및 조립 검증
바이어 ECR 발행 여부 확인</t>
        </is>
      </c>
      <c r="G22" s="3" t="inlineStr">
        <is>
          <t>금형: ~8월
양산: ~10월</t>
        </is>
      </c>
      <c r="H22" s="3" t="inlineStr">
        <is>
          <t>★ ECR 확인 결과 미반영</t>
        </is>
      </c>
      <c r="I22" s="117" t="n"/>
      <c r="J22" s="117" t="n"/>
      <c r="K22" s="117" t="n"/>
    </row>
    <row r="23">
      <c r="A23" s="3" t="n">
        <v>20</v>
      </c>
      <c r="B23" s="5" t="inlineStr">
        <is>
          <t>보통</t>
        </is>
      </c>
      <c r="C23" s="3" t="inlineStr">
        <is>
          <t>광주</t>
        </is>
      </c>
      <c r="D23" s="3" t="inlineStr">
        <is>
          <t>VC 요청/기술문서 프로세스</t>
        </is>
      </c>
      <c r="E23" s="3" t="inlineStr">
        <is>
          <t>영업/기술</t>
        </is>
      </c>
      <c r="F23" s="3" t="inlineStr">
        <is>
          <t>확정된 프로세스 영업팀 배포 및 적용</t>
        </is>
      </c>
      <c r="G23" s="3" t="inlineStr">
        <is>
          <t>6/1</t>
        </is>
      </c>
      <c r="H23" s="3" t="inlineStr">
        <is>
          <t>5월 신규 확정 안건</t>
        </is>
      </c>
      <c r="I23" s="117" t="n"/>
      <c r="J23" s="117" t="n"/>
      <c r="K23" s="117" t="n"/>
    </row>
    <row r="24" ht="27.95" customHeight="1">
      <c r="A24" s="3" t="n">
        <v>21</v>
      </c>
      <c r="B24" s="5" t="inlineStr">
        <is>
          <t>보통</t>
        </is>
      </c>
      <c r="C24" s="3" t="inlineStr">
        <is>
          <t>광주</t>
        </is>
      </c>
      <c r="D24" s="3" t="inlineStr">
        <is>
          <t>JIS 소형 EFB 충전수입성 증대</t>
        </is>
      </c>
      <c r="E24" s="3" t="inlineStr">
        <is>
          <t>OE개발/기술</t>
        </is>
      </c>
      <c r="F24" s="3" t="inlineStr">
        <is>
          <t>벤치마킹 완료 후 BSIJP 협의 및 Spec 확정</t>
        </is>
      </c>
      <c r="G24" s="3" t="inlineStr">
        <is>
          <t>기본성능: ~6/15
충전수입성: ~6/19</t>
        </is>
      </c>
      <c r="H24" s="3" t="inlineStr">
        <is>
          <t>5월 신규, 개발방향성 회의 完(5/28)</t>
        </is>
      </c>
      <c r="I24" s="117" t="n"/>
      <c r="J24" s="117" t="n"/>
      <c r="K24" s="117" t="n"/>
    </row>
    <row r="25">
      <c r="A25" s="3" t="n">
        <v>22</v>
      </c>
      <c r="B25" s="5" t="inlineStr">
        <is>
          <t>보통</t>
        </is>
      </c>
      <c r="C25" s="3" t="inlineStr">
        <is>
          <t>광주</t>
        </is>
      </c>
      <c r="D25" s="3" t="inlineStr">
        <is>
          <t>ISS 증대 Q85,S95 PV</t>
        </is>
      </c>
      <c r="E25" s="3" t="inlineStr">
        <is>
          <t>기술/품질</t>
        </is>
      </c>
      <c r="F25" s="3" t="inlineStr">
        <is>
          <t>2차 PV ISS 수명 평가 완료</t>
        </is>
      </c>
      <c r="G25" s="3" t="inlineStr">
        <is>
          <t>~6월</t>
        </is>
      </c>
      <c r="H25" s="3" t="inlineStr">
        <is>
          <t>1차 PV 불만족→2차 진행 중</t>
        </is>
      </c>
      <c r="I25" s="117" t="n"/>
      <c r="J25" s="117" t="n"/>
      <c r="K25" s="117" t="n"/>
    </row>
    <row r="26" hidden="1">
      <c r="A26" s="3" t="n">
        <v>23</v>
      </c>
      <c r="B26" s="5" t="inlineStr">
        <is>
          <t>보통</t>
        </is>
      </c>
      <c r="C26" s="3" t="inlineStr">
        <is>
          <t>창원</t>
        </is>
      </c>
      <c r="D26" s="3" t="inlineStr">
        <is>
          <t>EU 배터리 법규 대응</t>
        </is>
      </c>
      <c r="E26" s="3" t="inlineStr">
        <is>
          <t>기술(창원)/영업</t>
        </is>
      </c>
      <c r="F26" s="3" t="inlineStr">
        <is>
          <t>라벨 표기 준비, 바이어 확인/라벨 확정</t>
        </is>
      </c>
      <c r="G26" s="3" t="inlineStr">
        <is>
          <t>26.08 시행</t>
        </is>
      </c>
      <c r="H26" s="3" t="inlineStr">
        <is>
          <t>영업 협조 필요</t>
        </is>
      </c>
      <c r="I26" s="117" t="n"/>
      <c r="J26" s="117" t="n"/>
      <c r="K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</row>
  </sheetData>
  <autoFilter ref="A3:H26">
    <filterColumn colId="2" hiddenButton="0" showButton="1">
      <filters>
        <filter val="광주"/>
      </filters>
    </filterColumn>
  </autoFilter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G8" sqref="G8"/>
    </sheetView>
  </sheetViews>
  <sheetFormatPr baseColWidth="8" defaultRowHeight="17.1"/>
  <cols>
    <col width="5" customWidth="1" min="1" max="1"/>
    <col width="8" customWidth="1" min="2" max="2"/>
    <col width="22" customWidth="1" min="3" max="3"/>
    <col width="10" customWidth="1" min="4" max="4"/>
    <col width="28" customWidth="1" min="5" max="5"/>
    <col width="13" customWidth="1" min="6" max="6"/>
    <col width="35" customWidth="1" min="7" max="7"/>
    <col width="40" customWidth="1" min="8" max="8"/>
    <col width="30" customWidth="1" min="9" max="9"/>
  </cols>
  <sheetData>
    <row r="1" ht="18.95" customHeight="1">
      <c r="A1" s="118" t="inlineStr">
        <is>
          <t>지연/미회신 안건 상세 현황 (5월 교류회 반영 업데이트)</t>
        </is>
      </c>
      <c r="J1" s="117" t="n"/>
      <c r="K1" s="117" t="n"/>
    </row>
    <row r="2">
      <c r="A2" s="116" t="inlineStr">
        <is>
          <t>작성일: 2026.05.29 | 5월 교류회 자료 반영 후 상태 변경 포함</t>
        </is>
      </c>
      <c r="J2" s="117" t="n"/>
      <c r="K2" s="117" t="n"/>
    </row>
    <row r="3">
      <c r="A3" s="1" t="inlineStr">
        <is>
          <t>No.</t>
        </is>
      </c>
      <c r="B3" s="1" t="inlineStr">
        <is>
          <t>공장</t>
        </is>
      </c>
      <c r="C3" s="1" t="inlineStr">
        <is>
          <t>안건명</t>
        </is>
      </c>
      <c r="D3" s="1" t="inlineStr">
        <is>
          <t>최초 요청월</t>
        </is>
      </c>
      <c r="E3" s="1" t="inlineStr">
        <is>
          <t>요청 내용</t>
        </is>
      </c>
      <c r="F3" s="1" t="inlineStr">
        <is>
          <t>담당</t>
        </is>
      </c>
      <c r="G3" s="1" t="inlineStr">
        <is>
          <t>2~4월 경위</t>
        </is>
      </c>
      <c r="H3" s="1" t="inlineStr">
        <is>
          <t>5월 교류회 반영 상태</t>
        </is>
      </c>
      <c r="I3" s="1" t="inlineStr">
        <is>
          <t>조치 필요사항</t>
        </is>
      </c>
      <c r="J3" s="117" t="n"/>
      <c r="K3" s="117" t="n"/>
    </row>
    <row r="4" ht="56.1" customHeight="1">
      <c r="A4" s="3" t="n">
        <v>1</v>
      </c>
      <c r="B4" s="3" t="inlineStr">
        <is>
          <t>광주</t>
        </is>
      </c>
      <c r="C4" s="3" t="inlineStr">
        <is>
          <t>저비중 SG6→SG8</t>
        </is>
      </c>
      <c r="D4" s="3" t="inlineStr">
        <is>
          <t>2월</t>
        </is>
      </c>
      <c r="E4" s="3" t="inlineStr">
        <is>
          <t>시장별 AMS 차량 점유율 조사
(담당: 영업, ~03/27)</t>
        </is>
      </c>
      <c r="F4" s="3" t="inlineStr">
        <is>
          <t>영업팀</t>
        </is>
      </c>
      <c r="G4" s="3" t="inlineStr">
        <is>
          <t>2월: 영업에 조사 요청(~3/27)
3월: 회신 지연 확인
4월: "바이어별 변경 가능 영업 회신 필요(~05월)"</t>
        </is>
      </c>
      <c r="H4" s="6" t="inlineStr">
        <is>
          <t>★★ 여전히 미회신
5월 자료에도 "각 팀별/바이어별 최종 의견 회신 필요"로 기재
→ 4개월째 영업에서 조사 결과를 회신하지 않음</t>
        </is>
      </c>
      <c r="I4" s="3" t="inlineStr">
        <is>
          <t>영업 각 팀 즉시 회신 촉구
경영진 에스컬레이션 검토</t>
        </is>
      </c>
      <c r="J4" s="117" t="n"/>
      <c r="K4" s="117" t="n"/>
    </row>
    <row r="5" ht="56.1" customHeight="1">
      <c r="A5" s="3" t="n">
        <v>2</v>
      </c>
      <c r="B5" s="3" t="inlineStr">
        <is>
          <t>광주</t>
        </is>
      </c>
      <c r="C5" s="3" t="inlineStr">
        <is>
          <t>전해액 혼합치구 검토</t>
        </is>
      </c>
      <c r="D5" s="3" t="inlineStr">
        <is>
          <t>2월</t>
        </is>
      </c>
      <c r="E5" s="3" t="inlineStr">
        <is>
          <t>혼합치구 삭제 가능 여부
바이어 협의 요청</t>
        </is>
      </c>
      <c r="F5" s="3" t="inlineStr">
        <is>
          <t>영업기획
(정재준)</t>
        </is>
      </c>
      <c r="G5" s="3" t="inlineStr">
        <is>
          <t>2월: 바이어 협의 요청
3월: 회신 지연 확인
4월: 아예 미언급(방치)</t>
        </is>
      </c>
      <c r="H5" s="7" t="inlineStr">
        <is>
          <t>★ 5월에 재개됨
"변경 가능 여부 지속 업데이트 중"
"코드 변경 여부 확인 중"
→ 3개월 방치 후 처음 진행 상황 확인</t>
        </is>
      </c>
      <c r="I5" s="3" t="inlineStr">
        <is>
          <t>지연→재개(개선)
코드 변경 확인 완료 촉구</t>
        </is>
      </c>
      <c r="J5" s="117" t="n"/>
      <c r="K5" s="117" t="n"/>
    </row>
    <row r="6" ht="42" customHeight="1">
      <c r="A6" s="3" t="n">
        <v>3</v>
      </c>
      <c r="B6" s="3" t="inlineStr">
        <is>
          <t>창원</t>
        </is>
      </c>
      <c r="C6" s="3" t="inlineStr">
        <is>
          <t>AGM 색상 개발
(바이어 회신)</t>
        </is>
      </c>
      <c r="D6" s="3" t="inlineStr">
        <is>
          <t>2월</t>
        </is>
      </c>
      <c r="E6" s="3" t="inlineStr">
        <is>
          <t>회색/노랑/진회색 수지 시편
바이어 확인 회신 요청</t>
        </is>
      </c>
      <c r="F6" s="3" t="inlineStr">
        <is>
          <t>영업(미주)</t>
        </is>
      </c>
      <c r="G6" s="3" t="inlineStr">
        <is>
          <t>2월: 바이어 확인 회신 요청
3월: 바이어 회신 대기 중
4월: 바이어 확인 회신 대기 중</t>
        </is>
      </c>
      <c r="H6" s="7" t="inlineStr">
        <is>
          <t>★ 5월 자료 미언급(창원 안건)
→ 4개월째 바이어 회신 대기
기술에서도 영업에서도 후속 조치 보이지 않음</t>
        </is>
      </c>
      <c r="I6" s="3" t="inlineStr">
        <is>
          <t>영업(미주): 바이어 회신 즉시 재촉
바이어 무응답 시 대안 검토</t>
        </is>
      </c>
      <c r="J6" s="117" t="n"/>
      <c r="K6" s="117" t="n"/>
    </row>
    <row r="7" ht="42" customHeight="1">
      <c r="A7" s="3" t="n">
        <v>4</v>
      </c>
      <c r="B7" s="3" t="inlineStr">
        <is>
          <t>창원</t>
        </is>
      </c>
      <c r="C7" s="3" t="inlineStr">
        <is>
          <t>BOSCH EU RFQ</t>
        </is>
      </c>
      <c r="D7" s="3" t="inlineStr">
        <is>
          <t>2월</t>
        </is>
      </c>
      <c r="E7" s="3" t="inlineStr">
        <is>
          <t>3자기관(ABRL) 평가 결과
회신 예정(26.3월)</t>
        </is>
      </c>
      <c r="F7" s="3" t="inlineStr">
        <is>
          <t>OE개발</t>
        </is>
      </c>
      <c r="G7" s="3" t="inlineStr">
        <is>
          <t>2월: 시료 송부 완료, 3월 결과 예정
3월: 결과 회신 예정→미회신
4월: BOSCH 평가 결과 회신 대기 중</t>
        </is>
      </c>
      <c r="H7" s="7" t="inlineStr">
        <is>
          <t>★ 5월 자료 미언급(창원 안건)
→ 3월 회신 예정이었으나 5월까지 미회신
후속 조치 불분명</t>
        </is>
      </c>
      <c r="I7" s="3" t="inlineStr">
        <is>
          <t>OE개발: BOSCH/ABRL 재촉
회신 시점 확인 필요</t>
        </is>
      </c>
      <c r="J7" s="117" t="n"/>
      <c r="K7" s="117" t="n"/>
    </row>
    <row r="8" ht="69.95" customHeight="1">
      <c r="A8" s="3" t="n">
        <v>5</v>
      </c>
      <c r="B8" s="3" t="inlineStr">
        <is>
          <t>광주</t>
        </is>
      </c>
      <c r="C8" s="3" t="inlineStr">
        <is>
          <t>충전제어용 BSJP RFQ</t>
        </is>
      </c>
      <c r="D8" s="3" t="inlineStr">
        <is>
          <t>3월</t>
        </is>
      </c>
      <c r="E8" s="3" t="inlineStr">
        <is>
          <t>충전수입성 증대 개발품
RFQ 제출 예정(~5월 2째주)</t>
        </is>
      </c>
      <c r="F8" s="3" t="inlineStr">
        <is>
          <t>기술/영업(AP)</t>
        </is>
      </c>
      <c r="G8" s="3" t="inlineStr">
        <is>
          <t>3월: BSIJP 미팅→필드 수명 강조
4월: RFQ 제출 예정(~5월 2째주)</t>
        </is>
      </c>
      <c r="H8" s="7" t="inlineStr">
        <is>
          <t>★ RFQ 미제출
입고전압 리스크로 보류
개발방향성 2차 협의 完(5/27)
→ 기술: Delkor 벤치마킹(~6/19)
→ 영업: BSJP 요구 Spec 재확인(~6월)</t>
        </is>
      </c>
      <c r="I8" s="3" t="inlineStr">
        <is>
          <t>4월 약속 불이행
영업 BSJP 미팅(~6월)
기술 벤치마킹(~6/19)</t>
        </is>
      </c>
      <c r="J8" s="117" t="n"/>
      <c r="K8" s="117" t="n"/>
    </row>
    <row r="9" ht="56.1" customHeight="1">
      <c r="A9" s="3" t="n">
        <v>6</v>
      </c>
      <c r="B9" s="3" t="inlineStr">
        <is>
          <t>광주</t>
        </is>
      </c>
      <c r="C9" s="3" t="inlineStr">
        <is>
          <t>GB LN1-PN ECR 회신</t>
        </is>
      </c>
      <c r="D9" s="3" t="inlineStr">
        <is>
          <t>2월</t>
        </is>
      </c>
      <c r="E9" s="3" t="inlineStr">
        <is>
          <t>바이어별 변경 가능 여부
ECR 필요 자료 회신(~4/10)</t>
        </is>
      </c>
      <c r="F9" s="3" t="inlineStr">
        <is>
          <t>영업(AP)</t>
        </is>
      </c>
      <c r="G9" s="3" t="inlineStr">
        <is>
          <t>2월: 바이어별 확인 요청
3월: ECR 송부 完(3/26), 승인 진행
4월: 영업 회신(~4/10)</t>
        </is>
      </c>
      <c r="H9" s="7" t="inlineStr">
        <is>
          <t>★ 5월 자료:
ECR 송부 完(3/26), "영업 회신(~4/10)" 기재
→ 4/10 이후 결과가 반영되지 않음
회신 완료 여부 불명확</t>
        </is>
      </c>
      <c r="I9" s="3" t="inlineStr">
        <is>
          <t>영업 회신 결과 확인 후
5월 자료에 반영 요청</t>
        </is>
      </c>
      <c r="J9" s="117" t="n"/>
      <c r="K9" s="117" t="n"/>
    </row>
    <row r="10">
      <c r="A10" s="117" t="n"/>
      <c r="B10" s="117" t="n"/>
      <c r="C10" s="117" t="n"/>
      <c r="D10" s="117" t="n"/>
      <c r="E10" s="117" t="n"/>
      <c r="F10" s="117" t="n"/>
      <c r="G10" s="117" t="n"/>
      <c r="H10" s="117" t="n"/>
      <c r="I10" s="117" t="n"/>
      <c r="J10" s="117" t="n"/>
      <c r="K10" s="117" t="n"/>
    </row>
    <row r="11">
      <c r="A11" s="117" t="n"/>
      <c r="B11" s="117" t="n"/>
      <c r="C11" s="117" t="n"/>
      <c r="D11" s="117" t="n"/>
      <c r="E11" s="117" t="n"/>
      <c r="F11" s="117" t="n"/>
      <c r="G11" s="117" t="n"/>
      <c r="H11" s="117" t="n"/>
      <c r="I11" s="117" t="n"/>
      <c r="J11" s="117" t="n"/>
      <c r="K11" s="117" t="n"/>
    </row>
    <row r="12">
      <c r="A12" s="117" t="n"/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7" t="n"/>
      <c r="K12" s="117" t="n"/>
    </row>
    <row r="13">
      <c r="A13" s="117" t="n"/>
      <c r="B13" s="117" t="n"/>
      <c r="C13" s="117" t="n"/>
      <c r="D13" s="117" t="n"/>
      <c r="E13" s="117" t="n"/>
      <c r="F13" s="117" t="n"/>
      <c r="G13" s="117" t="n"/>
      <c r="H13" s="117" t="n"/>
      <c r="I13" s="117" t="n"/>
      <c r="J13" s="117" t="n"/>
      <c r="K13" s="117" t="n"/>
    </row>
    <row r="14">
      <c r="A14" s="117" t="n"/>
      <c r="B14" s="117" t="n"/>
      <c r="C14" s="117" t="n"/>
      <c r="D14" s="117" t="n"/>
      <c r="E14" s="117" t="n"/>
      <c r="F14" s="117" t="n"/>
      <c r="G14" s="117" t="n"/>
      <c r="H14" s="117" t="n"/>
      <c r="I14" s="117" t="n"/>
      <c r="J14" s="117" t="n"/>
      <c r="K14" s="117" t="n"/>
    </row>
    <row r="15">
      <c r="A15" s="117" t="n"/>
      <c r="B15" s="117" t="n"/>
      <c r="C15" s="117" t="n"/>
      <c r="D15" s="117" t="n"/>
      <c r="E15" s="117" t="n"/>
      <c r="F15" s="117" t="n"/>
      <c r="G15" s="117" t="n"/>
      <c r="H15" s="117" t="n"/>
      <c r="I15" s="117" t="n"/>
      <c r="J15" s="117" t="n"/>
      <c r="K15" s="117" t="n"/>
    </row>
    <row r="16">
      <c r="A16" s="117" t="n"/>
      <c r="B16" s="117" t="n"/>
      <c r="C16" s="117" t="n"/>
      <c r="D16" s="117" t="n"/>
      <c r="E16" s="117" t="n"/>
      <c r="F16" s="117" t="n"/>
      <c r="G16" s="117" t="n"/>
      <c r="H16" s="117" t="n"/>
      <c r="I16" s="117" t="n"/>
      <c r="J16" s="117" t="n"/>
      <c r="K16" s="117" t="n"/>
    </row>
    <row r="17">
      <c r="A17" s="117" t="n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</row>
    <row r="18">
      <c r="A18" s="117" t="n"/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</row>
    <row r="19">
      <c r="A19" s="117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</row>
    <row r="20">
      <c r="A20" s="117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</row>
    <row r="21">
      <c r="A21" s="117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G30" sqref="G30"/>
    </sheetView>
  </sheetViews>
  <sheetFormatPr baseColWidth="8" defaultRowHeight="17.1"/>
  <cols>
    <col width="5" customWidth="1" min="1" max="1"/>
    <col width="8" customWidth="1" min="2" max="2"/>
    <col width="22" customWidth="1" min="3" max="3"/>
    <col width="30" customWidth="1" min="4" max="4"/>
    <col width="28" customWidth="1" min="5" max="5"/>
    <col width="22" customWidth="1" min="6" max="6"/>
    <col width="40" customWidth="1" min="7" max="7"/>
  </cols>
  <sheetData>
    <row r="1" ht="18.95" customHeight="1">
      <c r="A1" s="118" t="inlineStr">
        <is>
          <t>5월 교류회 자료에서 누락/미반영된 항목 요약</t>
        </is>
      </c>
      <c r="H1" s="117" t="n"/>
      <c r="I1" s="117" t="n"/>
      <c r="J1" s="117" t="n"/>
      <c r="K1" s="117" t="n"/>
    </row>
    <row r="2">
      <c r="A2" s="116" t="inlineStr">
        <is>
          <t>4월 이전 교류회에서 5월 팔로우업 예정이었으나 5월 자료에 반영되지 않은 항목</t>
        </is>
      </c>
      <c r="H2" s="117" t="n"/>
      <c r="I2" s="117" t="n"/>
      <c r="J2" s="117" t="n"/>
      <c r="K2" s="117" t="n"/>
    </row>
    <row r="3">
      <c r="A3" s="1" t="inlineStr">
        <is>
          <t>No.</t>
        </is>
      </c>
      <c r="B3" s="1" t="inlineStr">
        <is>
          <t>공장</t>
        </is>
      </c>
      <c r="C3" s="1" t="inlineStr">
        <is>
          <t>안건명</t>
        </is>
      </c>
      <c r="D3" s="1" t="inlineStr">
        <is>
          <t>약속 내용</t>
        </is>
      </c>
      <c r="E3" s="1" t="inlineStr">
        <is>
          <t>약속 시점</t>
        </is>
      </c>
      <c r="F3" s="1" t="inlineStr">
        <is>
          <t>5월 반영 여부</t>
        </is>
      </c>
      <c r="G3" s="1" t="inlineStr">
        <is>
          <t>판단 근거</t>
        </is>
      </c>
      <c r="H3" s="117" t="n"/>
      <c r="I3" s="117" t="n"/>
      <c r="J3" s="117" t="n"/>
      <c r="K3" s="117" t="n"/>
    </row>
    <row r="4" ht="27.95" customHeight="1">
      <c r="A4" s="3" t="n">
        <v>1</v>
      </c>
      <c r="B4" s="3" t="inlineStr">
        <is>
          <t>광주</t>
        </is>
      </c>
      <c r="C4" s="3" t="inlineStr">
        <is>
          <t>저비중 SG6→SG8
(영업 미회신)</t>
        </is>
      </c>
      <c r="D4" s="3" t="inlineStr">
        <is>
          <t>시장별 AMS 차량 점유율 조사 회신</t>
        </is>
      </c>
      <c r="E4" s="3" t="inlineStr">
        <is>
          <t>2월 요청→3/27 기한→5월까지 미이행</t>
        </is>
      </c>
      <c r="F4" s="8" t="inlineStr">
        <is>
          <t>미반영(미회신 지속)</t>
        </is>
      </c>
      <c r="G4" s="3" t="inlineStr">
        <is>
          <t>5월 자료에도 "최종 의견 회신 필요"로 기재
4개월째 영업이 조사 결과를 주지 않음</t>
        </is>
      </c>
      <c r="H4" s="117" t="n"/>
      <c r="I4" s="117" t="n"/>
      <c r="J4" s="117" t="n"/>
      <c r="K4" s="117" t="n"/>
    </row>
    <row r="5" ht="27.95" customHeight="1">
      <c r="A5" s="3" t="n">
        <v>2</v>
      </c>
      <c r="B5" s="3" t="inlineStr">
        <is>
          <t>창원</t>
        </is>
      </c>
      <c r="C5" s="3" t="inlineStr">
        <is>
          <t>AGM 색상 개발
(바이어 회신 미수신)</t>
        </is>
      </c>
      <c r="D5" s="3" t="inlineStr">
        <is>
          <t>노랑/진회색 시편 바이어 확인 회신</t>
        </is>
      </c>
      <c r="E5" s="3" t="inlineStr">
        <is>
          <t>2월 요청→4개월째 대기</t>
        </is>
      </c>
      <c r="F5" s="8" t="inlineStr">
        <is>
          <t>5월 자료 미언급</t>
        </is>
      </c>
      <c r="G5" s="3" t="inlineStr">
        <is>
          <t>5월 자료(광주 작성)에 창원 안건 미포함
영업에서 바이어 회신을 받지 못한 상태 지속</t>
        </is>
      </c>
      <c r="H5" s="117" t="n"/>
      <c r="I5" s="117" t="n"/>
      <c r="J5" s="117" t="n"/>
      <c r="K5" s="117" t="n"/>
    </row>
    <row r="6" ht="27.95" customHeight="1">
      <c r="A6" s="3" t="n">
        <v>3</v>
      </c>
      <c r="B6" s="3" t="inlineStr">
        <is>
          <t>창원</t>
        </is>
      </c>
      <c r="C6" s="3" t="inlineStr">
        <is>
          <t>BOSCH EU RFQ
(결과 미회신)</t>
        </is>
      </c>
      <c r="D6" s="3" t="inlineStr">
        <is>
          <t>BOSCH/ABRL 평가 결과 회신</t>
        </is>
      </c>
      <c r="E6" s="3" t="inlineStr">
        <is>
          <t>3월 회신 예정→5월까지 미수신</t>
        </is>
      </c>
      <c r="F6" s="8" t="inlineStr">
        <is>
          <t>5월 자료 미언급</t>
        </is>
      </c>
      <c r="G6" s="3" t="inlineStr">
        <is>
          <t>5월 자료에 창원 안건 미포함
3자기관 평가 결과 3개월째 미회신</t>
        </is>
      </c>
      <c r="H6" s="117" t="n"/>
      <c r="I6" s="117" t="n"/>
      <c r="J6" s="117" t="n"/>
      <c r="K6" s="117" t="n"/>
    </row>
    <row r="7" ht="27.95" customHeight="1">
      <c r="A7" s="3" t="n">
        <v>4</v>
      </c>
      <c r="B7" s="3" t="inlineStr">
        <is>
          <t>광주</t>
        </is>
      </c>
      <c r="C7" s="3" t="inlineStr">
        <is>
          <t>GB LN1-PN ECR
(영업 회신 결과)</t>
        </is>
      </c>
      <c r="D7" s="3" t="inlineStr">
        <is>
          <t>바이어별 변경 가능 여부/ECR 회신</t>
        </is>
      </c>
      <c r="E7" s="3" t="inlineStr">
        <is>
          <t>4월: 영업 회신(~4/10)</t>
        </is>
      </c>
      <c r="F7" s="8" t="inlineStr">
        <is>
          <t>결과 미반영</t>
        </is>
      </c>
      <c r="G7" s="3" t="inlineStr">
        <is>
          <t>5월 자료에 "ECR 송부 完, 영업 회신(~4/10)"만 기재
4/10 이후 결과가 업데이트되지 않음</t>
        </is>
      </c>
      <c r="H7" s="117" t="n"/>
      <c r="I7" s="117" t="n"/>
      <c r="J7" s="117" t="n"/>
      <c r="K7" s="117" t="n"/>
    </row>
    <row r="8" ht="42" customHeight="1">
      <c r="A8" s="3" t="n">
        <v>5</v>
      </c>
      <c r="B8" s="3" t="inlineStr">
        <is>
          <t>광주</t>
        </is>
      </c>
      <c r="C8" s="3" t="inlineStr">
        <is>
          <t>충전제어용 BSJP RFQ
(기술 미제출)</t>
        </is>
      </c>
      <c r="D8" s="3" t="inlineStr">
        <is>
          <t>RFQ 제출(~5월 2째주)</t>
        </is>
      </c>
      <c r="E8" s="3" t="inlineStr">
        <is>
          <t>4월 교류회에서 약속</t>
        </is>
      </c>
      <c r="F8" s="8" t="inlineStr">
        <is>
          <t>미이행(보류)</t>
        </is>
      </c>
      <c r="G8" s="3" t="inlineStr">
        <is>
          <t>입고전압 리스크로 RFQ 미제출
5월에 개발방향성 2차 협의로 전환
→ 약속 불이행이나 사유 있음</t>
        </is>
      </c>
      <c r="H8" s="117" t="n"/>
      <c r="I8" s="117" t="n"/>
      <c r="J8" s="117" t="n"/>
      <c r="K8" s="117" t="n"/>
    </row>
    <row r="9" ht="27.95" customHeight="1">
      <c r="A9" s="3" t="n">
        <v>6</v>
      </c>
      <c r="B9" s="3" t="inlineStr">
        <is>
          <t>광주</t>
        </is>
      </c>
      <c r="C9" s="3" t="inlineStr">
        <is>
          <t>소형 단자 보호캡
(ECR 확인 결과)</t>
        </is>
      </c>
      <c r="D9" s="3" t="inlineStr">
        <is>
          <t>바이어측 ECR 발행 여부 확인</t>
        </is>
      </c>
      <c r="E9" s="3" t="inlineStr">
        <is>
          <t>4월 교류회 요청</t>
        </is>
      </c>
      <c r="F9" s="8" t="inlineStr">
        <is>
          <t>5월 자료 미언급</t>
        </is>
      </c>
      <c r="G9" s="3" t="inlineStr">
        <is>
          <t>4월 신규 안건인데 5월 자료에 후속 내용 없음</t>
        </is>
      </c>
      <c r="H9" s="117" t="n"/>
      <c r="I9" s="117" t="n"/>
      <c r="J9" s="117" t="n"/>
      <c r="K9" s="117" t="n"/>
    </row>
    <row r="10" ht="27.95" customHeight="1">
      <c r="A10" s="3" t="n">
        <v>7</v>
      </c>
      <c r="B10" s="3" t="inlineStr">
        <is>
          <t>창원</t>
        </is>
      </c>
      <c r="C10" s="3" t="inlineStr">
        <is>
          <t>회색 단자 보호캡
(시운전 결과)</t>
        </is>
      </c>
      <c r="D10" s="3" t="inlineStr">
        <is>
          <t>비전 검사기 검출 조건 재설정 시운전</t>
        </is>
      </c>
      <c r="E10" s="3" t="inlineStr">
        <is>
          <t>4월: ~5월 초 시운전 예정</t>
        </is>
      </c>
      <c r="F10" s="8" t="inlineStr">
        <is>
          <t>5월 자료 미언급</t>
        </is>
      </c>
      <c r="G10" s="3" t="inlineStr">
        <is>
          <t>5월 자료(광주 작성)에 창원 안건 미포함</t>
        </is>
      </c>
      <c r="H10" s="117" t="n"/>
      <c r="I10" s="117" t="n"/>
      <c r="J10" s="117" t="n"/>
      <c r="K10" s="117" t="n"/>
    </row>
    <row r="11" ht="27.95" customHeight="1">
      <c r="A11" s="3" t="n">
        <v>8</v>
      </c>
      <c r="B11" s="3" t="inlineStr">
        <is>
          <t>창원</t>
        </is>
      </c>
      <c r="C11" s="3" t="inlineStr">
        <is>
          <t>High CCA 2단계
(분석 결과)</t>
        </is>
      </c>
      <c r="D11" s="3" t="inlineStr">
        <is>
          <t>L5,L6 PV 조기종료 분석</t>
        </is>
      </c>
      <c r="E11" s="3" t="inlineStr">
        <is>
          <t>3~4월 분석 중</t>
        </is>
      </c>
      <c r="F11" s="8" t="inlineStr">
        <is>
          <t>5월 자료 미언급</t>
        </is>
      </c>
      <c r="G11" s="3" t="inlineStr">
        <is>
          <t>3개월째 "분석 중"으로 결과 미공유</t>
        </is>
      </c>
      <c r="H11" s="117" t="n"/>
      <c r="I11" s="117" t="n"/>
      <c r="J11" s="117" t="n"/>
      <c r="K11" s="117" t="n"/>
    </row>
    <row r="12" ht="27.95" customHeight="1">
      <c r="A12" s="3" t="n">
        <v>9</v>
      </c>
      <c r="B12" s="3" t="inlineStr">
        <is>
          <t>창원</t>
        </is>
      </c>
      <c r="C12" s="3" t="inlineStr">
        <is>
          <t>BCI AGM 24M
(수명 평가 결과)</t>
        </is>
      </c>
      <c r="D12" s="3" t="inlineStr">
        <is>
          <t>수명 평가 진행 중</t>
        </is>
      </c>
      <c r="E12" s="3" t="inlineStr">
        <is>
          <t>4월: ~4월말 완료 예정</t>
        </is>
      </c>
      <c r="F12" s="8" t="inlineStr">
        <is>
          <t>5월 자료 미언급</t>
        </is>
      </c>
      <c r="G12" s="3" t="inlineStr">
        <is>
          <t>4월말 완료 예정이었으나 결과 미공유</t>
        </is>
      </c>
      <c r="H12" s="117" t="n"/>
      <c r="I12" s="117" t="n"/>
      <c r="J12" s="117" t="n"/>
      <c r="K12" s="117" t="n"/>
    </row>
    <row r="13" ht="27.95" customHeight="1">
      <c r="A13" s="3" t="n">
        <v>10</v>
      </c>
      <c r="B13" s="3" t="inlineStr">
        <is>
          <t>창원</t>
        </is>
      </c>
      <c r="C13" s="3" t="inlineStr">
        <is>
          <t>BCI AGM 27F
(시운전/사양회의)</t>
        </is>
      </c>
      <c r="D13" s="3" t="inlineStr">
        <is>
          <t>시운전 및 사양 관련 별도 회의</t>
        </is>
      </c>
      <c r="E13" s="3" t="inlineStr">
        <is>
          <t>4월: ~4월 시운전</t>
        </is>
      </c>
      <c r="F13" s="8" t="inlineStr">
        <is>
          <t>5월 자료 미언급</t>
        </is>
      </c>
      <c r="G13" s="3" t="inlineStr">
        <is>
          <t>시운전 결과 및 회의 내용 미공유</t>
        </is>
      </c>
      <c r="H13" s="117" t="n"/>
      <c r="I13" s="117" t="n"/>
      <c r="J13" s="117" t="n"/>
      <c r="K13" s="117" t="n"/>
    </row>
    <row r="14">
      <c r="A14" s="117" t="n"/>
      <c r="B14" s="117" t="n"/>
      <c r="C14" s="117" t="n"/>
      <c r="D14" s="117" t="n"/>
      <c r="E14" s="117" t="n"/>
      <c r="F14" s="117" t="n"/>
      <c r="G14" s="117" t="n"/>
      <c r="H14" s="117" t="n"/>
      <c r="I14" s="117" t="n"/>
      <c r="J14" s="117" t="n"/>
      <c r="K14" s="117" t="n"/>
    </row>
    <row r="15">
      <c r="A15" s="117" t="n"/>
      <c r="B15" s="117" t="n"/>
      <c r="C15" s="117" t="n"/>
      <c r="D15" s="117" t="n"/>
      <c r="E15" s="117" t="n"/>
      <c r="F15" s="117" t="n"/>
      <c r="G15" s="117" t="n"/>
      <c r="H15" s="117" t="n"/>
      <c r="I15" s="117" t="n"/>
      <c r="J15" s="117" t="n"/>
      <c r="K15" s="117" t="n"/>
    </row>
    <row r="16">
      <c r="A16" s="117" t="n"/>
      <c r="B16" s="117" t="n"/>
      <c r="C16" s="117" t="n"/>
      <c r="D16" s="117" t="n"/>
      <c r="E16" s="117" t="n"/>
      <c r="F16" s="117" t="n"/>
      <c r="G16" s="117" t="n"/>
      <c r="H16" s="117" t="n"/>
      <c r="I16" s="117" t="n"/>
      <c r="J16" s="117" t="n"/>
      <c r="K16" s="117" t="n"/>
    </row>
    <row r="17">
      <c r="A17" s="117" t="n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</row>
    <row r="18">
      <c r="A18" s="117" t="n"/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</row>
    <row r="19">
      <c r="A19" s="117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</row>
    <row r="20">
      <c r="A20" s="117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</row>
    <row r="21">
      <c r="A21" s="117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</row>
    <row r="22">
      <c r="A22" s="117" t="n"/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</row>
    <row r="23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</row>
    <row r="24">
      <c r="A24" s="117" t="n"/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</row>
    <row r="25">
      <c r="A25" s="117" t="n"/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</row>
    <row r="26">
      <c r="A26" s="117" t="n"/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</row>
    <row r="27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</row>
    <row r="28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</row>
    <row r="29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</row>
    <row r="30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</row>
    <row r="3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</row>
    <row r="32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</row>
    <row r="33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</row>
    <row r="34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</row>
  </sheetData>
  <mergeCells count="2">
    <mergeCell ref="A2:G2"/>
    <mergeCell ref="A1:G1"/>
  </mergeCells>
  <pageMargins left="0.75" right="0.75" top="1" bottom="1" header="0.5" footer="0.5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B2:M29"/>
  <sheetViews>
    <sheetView showGridLines="0" workbookViewId="0">
      <selection activeCell="R28" sqref="R28"/>
    </sheetView>
  </sheetViews>
  <sheetFormatPr baseColWidth="8" defaultColWidth="8.625" defaultRowHeight="15"/>
  <cols>
    <col width="1" customWidth="1" style="117" min="1" max="1"/>
    <col width="7.5" customWidth="1" style="117" min="2" max="2"/>
    <col width="9.125" customWidth="1" style="117" min="3" max="3"/>
    <col width="30" customWidth="1" style="117" min="4" max="4"/>
    <col width="12.5" customWidth="1" style="117" min="5" max="5"/>
    <col width="40" customWidth="1" style="117" min="6" max="6"/>
    <col width="15" customWidth="1" style="117" min="7" max="7"/>
    <col width="2.5" customWidth="1" style="117" min="8" max="8"/>
    <col width="21.625" customWidth="1" style="117" min="9" max="9"/>
    <col width="10" customWidth="1" style="117" min="10" max="10"/>
    <col width="8.625" customWidth="1" style="117" min="11" max="16384"/>
  </cols>
  <sheetData>
    <row r="2" ht="32.1" customHeight="1">
      <c r="B2" s="137" t="inlineStr">
        <is>
          <t>기술-해외영업 월간 교류회 안건 대시보드</t>
        </is>
      </c>
    </row>
    <row r="3">
      <c r="B3" s="138">
        <f>"기준: 5월 교류회 자료(Rev3) 반영 | 총 "&amp;COUNT('전체 안건 추적표'!A4:A37)&amp;"건 안건 추적 | 자동 집계"</f>
        <v/>
      </c>
    </row>
    <row r="5">
      <c r="B5" s="14" t="inlineStr">
        <is>
          <t>전체</t>
        </is>
      </c>
      <c r="C5" s="15" t="inlineStr">
        <is>
          <t>완료</t>
        </is>
      </c>
      <c r="D5" s="16" t="inlineStr">
        <is>
          <t>진행중</t>
        </is>
      </c>
      <c r="E5" s="17" t="inlineStr">
        <is>
          <t>지연</t>
        </is>
      </c>
      <c r="F5" s="18" t="inlineStr">
        <is>
          <t>신규</t>
        </is>
      </c>
      <c r="G5" s="19" t="inlineStr">
        <is>
          <t>★누락/미반영</t>
        </is>
      </c>
      <c r="L5" s="25" t="inlineStr">
        <is>
          <t>상태</t>
        </is>
      </c>
      <c r="M5" s="25" t="inlineStr">
        <is>
          <t>건수</t>
        </is>
      </c>
    </row>
    <row r="6" ht="24.6" customHeight="1">
      <c r="B6" s="33">
        <f>COUNT('전체 안건 추적표'!A4:A37)</f>
        <v/>
      </c>
      <c r="C6" s="34">
        <f>COUNTIF('전체 안건 추적표'!$J$4:$J$37,"완료")</f>
        <v/>
      </c>
      <c r="D6" s="35">
        <f>COUNTIF('전체 안건 추적표'!$J$4:$J$37,"진행중")</f>
        <v/>
      </c>
      <c r="E6" s="36">
        <f>COUNTIF('전체 안건 추적표'!$J$4:$J$37,"지연")</f>
        <v/>
      </c>
      <c r="F6" s="37">
        <f>COUNTIF('전체 안건 추적표'!$J$4:$J$37,"신규")</f>
        <v/>
      </c>
      <c r="G6" s="38">
        <f>COUNTIF('전체 안건 추적표'!$K$4:$K$37,"★*")</f>
        <v/>
      </c>
      <c r="L6" s="117" t="inlineStr">
        <is>
          <t>완료</t>
        </is>
      </c>
      <c r="M6" s="117">
        <f>C6</f>
        <v/>
      </c>
    </row>
    <row r="7">
      <c r="L7" s="117" t="inlineStr">
        <is>
          <t>진행중</t>
        </is>
      </c>
      <c r="M7" s="117">
        <f>D6</f>
        <v/>
      </c>
    </row>
    <row r="8" ht="16.5" customHeight="1">
      <c r="B8" s="31" t="inlineStr">
        <is>
          <t>■ 공장별 현황</t>
        </is>
      </c>
      <c r="I8" s="26" t="inlineStr">
        <is>
          <t>■ 관련부서별 안건 수</t>
        </is>
      </c>
      <c r="L8" s="117" t="inlineStr">
        <is>
          <t>지연</t>
        </is>
      </c>
      <c r="M8" s="117">
        <f>E6</f>
        <v/>
      </c>
    </row>
    <row r="9">
      <c r="B9" s="20" t="inlineStr">
        <is>
          <t>공장</t>
        </is>
      </c>
      <c r="C9" s="20" t="inlineStr">
        <is>
          <t>전체</t>
        </is>
      </c>
      <c r="D9" s="20" t="inlineStr">
        <is>
          <t>완료</t>
        </is>
      </c>
      <c r="E9" s="20" t="inlineStr">
        <is>
          <t>진행중</t>
        </is>
      </c>
      <c r="F9" s="20" t="inlineStr">
        <is>
          <t>지연</t>
        </is>
      </c>
      <c r="G9" s="20" t="inlineStr">
        <is>
          <t>신규</t>
        </is>
      </c>
      <c r="I9" s="20" t="inlineStr">
        <is>
          <t>부서</t>
        </is>
      </c>
      <c r="J9" s="20" t="inlineStr">
        <is>
          <t>안건 수</t>
        </is>
      </c>
      <c r="L9" s="21" t="inlineStr">
        <is>
          <t>신규</t>
        </is>
      </c>
      <c r="M9" s="117">
        <f>F6</f>
        <v/>
      </c>
    </row>
    <row r="10">
      <c r="B10" s="22" t="inlineStr">
        <is>
          <t>창원</t>
        </is>
      </c>
      <c r="C10" s="23">
        <f>COUNTIF('전체 안건 추적표'!$B$4:$B$37,$B10)</f>
        <v/>
      </c>
      <c r="D10" s="23">
        <f>COUNTIFS('전체 안건 추적표'!$B$4:$B$37,$B10,'전체 안건 추적표'!$J$4:$J$37,"완료")</f>
        <v/>
      </c>
      <c r="E10" s="23">
        <f>COUNTIFS('전체 안건 추적표'!$B$4:$B$37,$B10,'전체 안건 추적표'!$J$4:$J$37,"진행중")</f>
        <v/>
      </c>
      <c r="F10" s="24">
        <f>COUNTIFS('전체 안건 추적표'!$B$4:$B$37,$B10,'전체 안건 추적표'!$J$4:$J$37,"지연")</f>
        <v/>
      </c>
      <c r="G10" s="23">
        <f>COUNTIFS('전체 안건 추적표'!$B$4:$B$37,$B10,'전체 안건 추적표'!$J$4:$J$37,"신규")</f>
        <v/>
      </c>
      <c r="I10" s="23" t="inlineStr">
        <is>
          <t>미주</t>
        </is>
      </c>
      <c r="J10" s="23">
        <f>COUNTIF('전체 안건 추적표'!$D$4:$D$37,"미주")</f>
        <v/>
      </c>
    </row>
    <row r="11">
      <c r="B11" s="22" t="inlineStr">
        <is>
          <t>광주</t>
        </is>
      </c>
      <c r="C11" s="23">
        <f>COUNTIF('전체 안건 추적표'!$B$4:$B$37,$B11)</f>
        <v/>
      </c>
      <c r="D11" s="23">
        <f>COUNTIFS('전체 안건 추적표'!$B$4:$B$37,$B11,'전체 안건 추적표'!$J$4:$J$37,"완료")</f>
        <v/>
      </c>
      <c r="E11" s="23">
        <f>COUNTIFS('전체 안건 추적표'!$B$4:$B$37,$B11,'전체 안건 추적표'!$J$4:$J$37,"진행중")</f>
        <v/>
      </c>
      <c r="F11" s="24">
        <f>COUNTIFS('전체 안건 추적표'!$B$4:$B$37,$B11,'전체 안건 추적표'!$J$4:$J$37,"지연")</f>
        <v/>
      </c>
      <c r="G11" s="23">
        <f>COUNTIFS('전체 안건 추적표'!$B$4:$B$37,$B11,'전체 안건 추적표'!$J$4:$J$37,"신규")</f>
        <v/>
      </c>
      <c r="I11" s="23" t="inlineStr">
        <is>
          <t>유럽</t>
        </is>
      </c>
      <c r="J11" s="23">
        <f>COUNTIF('전체 안건 추적표'!$D$4:$D$37,"유럽")</f>
        <v/>
      </c>
    </row>
    <row r="12">
      <c r="I12" s="23" t="inlineStr">
        <is>
          <t>AP</t>
        </is>
      </c>
      <c r="J12" s="23">
        <f>COUNTIF('전체 안건 추적표'!$D$4:$D$37,"AP")</f>
        <v/>
      </c>
    </row>
    <row r="13" ht="16.5" customHeight="1">
      <c r="B13" s="30" t="inlineStr">
        <is>
          <t>⚠ 지연 안건 (즉시 조치 필요)</t>
        </is>
      </c>
      <c r="I13" s="23" t="inlineStr">
        <is>
          <t>기술(자체/광주/기타)</t>
        </is>
      </c>
      <c r="J13" s="23">
        <f>COUNTIF('전체 안건 추적표'!$D$4:$D$37,"기술*")+COUNTIF('전체 안건 추적표'!$D$4:$D$37,"광주기술")</f>
        <v/>
      </c>
    </row>
    <row r="14">
      <c r="B14" s="11" t="inlineStr">
        <is>
          <t>No.</t>
        </is>
      </c>
      <c r="C14" s="10" t="inlineStr">
        <is>
          <t>공장</t>
        </is>
      </c>
      <c r="D14" s="10" t="inlineStr">
        <is>
          <t>안건명</t>
        </is>
      </c>
      <c r="E14" s="10" t="inlineStr">
        <is>
          <t>관련부서</t>
        </is>
      </c>
      <c r="F14" s="10" t="inlineStr">
        <is>
          <t>5월 누락/미반영 사유</t>
        </is>
      </c>
      <c r="I14" s="23" t="inlineStr">
        <is>
          <t>영업/영업기획</t>
        </is>
      </c>
      <c r="J14" s="23">
        <f>COUNTIF('전체 안건 추적표'!$D$4:$D$37,"영업*")</f>
        <v/>
      </c>
    </row>
    <row r="15" ht="24.95" customHeight="1">
      <c r="B15" s="12">
        <f t="array" ref="B15:B18">IFERROR(_xlfn._xlws.FILTER('전체 안건 추적표'!A4:A37,'전체 안건 추적표'!J4:J37="지연"),"")</f>
        <v/>
      </c>
      <c r="C15" s="12">
        <f t="array" ref="C15:C18">IFERROR(_xlfn._xlws.FILTER('전체 안건 추적표'!B4:B37,'전체 안건 추적표'!J4:J37="지연"),"")</f>
        <v/>
      </c>
      <c r="D15" s="27">
        <f t="array" ref="D15:D18">IFERROR(_xlfn._xlws.FILTER('전체 안건 추적표'!C4:C37,'전체 안건 추적표'!J4:J37="지연"),"")</f>
        <v/>
      </c>
      <c r="E15" s="12">
        <f t="array" ref="E15:E18">IFERROR(_xlfn._xlws.FILTER('전체 안건 추적표'!D4:D37,'전체 안건 추적표'!J4:J37="지연"),"")</f>
        <v/>
      </c>
      <c r="F15" s="28">
        <f t="array" ref="F15:F18">IFERROR(_xlfn._xlws.FILTER('전체 안건 추적표'!K4:K37,'전체 안건 추적표'!J4:J37="지연"),"")</f>
        <v/>
      </c>
      <c r="I15" s="23" t="inlineStr">
        <is>
          <t>기타(중아/OE개발)</t>
        </is>
      </c>
      <c r="J15" s="23">
        <f>COUNTIF('전체 안건 추적표'!$D$4:$D$37,"중아")+COUNTIF('전체 안건 추적표'!$D$4:$D$37,"OE개발")</f>
        <v/>
      </c>
    </row>
    <row r="16" ht="30" customHeight="1">
      <c r="B16" s="12" t="n">
        <v>10</v>
      </c>
      <c r="C16" s="12" t="inlineStr">
        <is>
          <t>창원</t>
        </is>
      </c>
      <c r="D16" s="27" t="inlineStr">
        <is>
          <t>BOSCH EU RFQ</t>
        </is>
      </c>
      <c r="E16" s="12" t="inlineStr">
        <is>
          <t>OE개발</t>
        </is>
      </c>
      <c r="F16" s="27" t="inlineStr">
        <is>
          <t>★ 3월 회신 예정이었으나
5월까지 미회신</t>
        </is>
      </c>
    </row>
    <row r="17" ht="30" customHeight="1">
      <c r="B17" s="12" t="n">
        <v>15</v>
      </c>
      <c r="C17" s="12" t="inlineStr">
        <is>
          <t>광주</t>
        </is>
      </c>
      <c r="D17" s="27" t="inlineStr">
        <is>
          <t>일본시장 충전제어용(BSJP)</t>
        </is>
      </c>
      <c r="E17" s="12" t="inlineStr">
        <is>
          <t>AP</t>
        </is>
      </c>
      <c r="F17" s="27" t="inlineStr">
        <is>
          <t>★ RFQ 미제출!
4월에 5월 제출 예정이었으나 미이행</t>
        </is>
      </c>
    </row>
    <row r="18" ht="30" customHeight="1">
      <c r="B18" s="12" t="n">
        <v>29</v>
      </c>
      <c r="C18" s="12" t="inlineStr">
        <is>
          <t>광주</t>
        </is>
      </c>
      <c r="D18" s="27" t="inlineStr">
        <is>
          <t>저비중 SG6→SG8 변경 검토</t>
        </is>
      </c>
      <c r="E18" s="12" t="inlineStr">
        <is>
          <t>영업</t>
        </is>
      </c>
      <c r="F18" s="27" t="inlineStr">
        <is>
          <t>★★ 4개월째 미회신
2월 요청→5월까지 미이행</t>
        </is>
      </c>
    </row>
    <row r="19">
      <c r="B19" s="29" t="n"/>
    </row>
    <row r="20">
      <c r="B20" s="29" t="n"/>
    </row>
    <row r="21" ht="16.5" customHeight="1">
      <c r="B21" s="30" t="inlineStr">
        <is>
          <t>★ 5월 누락/미반영 안건 (추적 필요)</t>
        </is>
      </c>
    </row>
    <row r="22">
      <c r="B22" s="13" t="inlineStr">
        <is>
          <t>No.</t>
        </is>
      </c>
      <c r="C22" s="13" t="inlineStr">
        <is>
          <t>공장</t>
        </is>
      </c>
      <c r="D22" s="13" t="inlineStr">
        <is>
          <t>안건명</t>
        </is>
      </c>
      <c r="E22" s="13" t="inlineStr">
        <is>
          <t>상태</t>
        </is>
      </c>
      <c r="F22" s="13" t="inlineStr">
        <is>
          <t>누락/미반영 사유</t>
        </is>
      </c>
    </row>
    <row r="23" ht="30" customHeight="1">
      <c r="B23" s="12">
        <f t="array" ref="B23:B29">IFERROR(_xlfn._xlws.FILTER('전체 안건 추적표'!A4:A37,LEFT('전체 안건 추적표'!K4:K37,1)="★"),"")</f>
        <v/>
      </c>
      <c r="C23" s="12">
        <f t="array" ref="C23:C29">IFERROR(_xlfn._xlws.FILTER('전체 안건 추적표'!B4:B37,LEFT('전체 안건 추적표'!K4:K37,1)="★"),"")</f>
        <v/>
      </c>
      <c r="D23" s="27">
        <f t="array" ref="D23:D29">IFERROR(_xlfn._xlws.FILTER('전체 안건 추적표'!C4:C37,LEFT('전체 안건 추적표'!K4:K37,1)="★"),"")</f>
        <v/>
      </c>
      <c r="E23" s="12">
        <f t="array" ref="E23:E29">IFERROR(_xlfn._xlws.FILTER('전체 안건 추적표'!J4:J37,LEFT('전체 안건 추적표'!K4:K37,1)="★"),"")</f>
        <v/>
      </c>
      <c r="F23" s="27">
        <f t="array" ref="F23:F29">IFERROR(_xlfn._xlws.FILTER('전체 안건 추적표'!K4:K37,LEFT('전체 안건 추적표'!K4:K37,1)="★"),"")</f>
        <v/>
      </c>
    </row>
    <row r="24" ht="30" customHeight="1">
      <c r="B24" s="12" t="n">
        <v>10</v>
      </c>
      <c r="C24" s="12" t="inlineStr">
        <is>
          <t>창원</t>
        </is>
      </c>
      <c r="D24" s="27" t="inlineStr">
        <is>
          <t>BOSCH EU RFQ</t>
        </is>
      </c>
      <c r="E24" s="12" t="inlineStr">
        <is>
          <t>지연</t>
        </is>
      </c>
      <c r="F24" s="27" t="inlineStr">
        <is>
          <t>★ 3월 회신 예정이었으나
5월까지 미회신</t>
        </is>
      </c>
    </row>
    <row r="25" ht="30" customHeight="1">
      <c r="B25" s="12" t="n">
        <v>15</v>
      </c>
      <c r="C25" s="12" t="inlineStr">
        <is>
          <t>광주</t>
        </is>
      </c>
      <c r="D25" s="27" t="inlineStr">
        <is>
          <t>일본시장 충전제어용(BSJP)</t>
        </is>
      </c>
      <c r="E25" s="12" t="inlineStr">
        <is>
          <t>지연</t>
        </is>
      </c>
      <c r="F25" s="27" t="inlineStr">
        <is>
          <t>★ RFQ 미제출!
4월에 5월 제출 예정이었으나 미이행</t>
        </is>
      </c>
    </row>
    <row r="26" ht="30" customHeight="1">
      <c r="B26" s="12" t="n">
        <v>27</v>
      </c>
      <c r="C26" s="12" t="inlineStr">
        <is>
          <t>광주</t>
        </is>
      </c>
      <c r="D26" s="27" t="inlineStr">
        <is>
          <t>GB LN1-PN 카바 디자인 변경</t>
        </is>
      </c>
      <c r="E26" s="12" t="inlineStr">
        <is>
          <t>진행중</t>
        </is>
      </c>
      <c r="F26" s="27" t="inlineStr">
        <is>
          <t>★ 영업 회신(~4/10) 이후
결과가 5월 자료에 미반영</t>
        </is>
      </c>
    </row>
    <row r="27" ht="30" customHeight="1">
      <c r="B27" s="12" t="n">
        <v>28</v>
      </c>
      <c r="C27" s="12" t="inlineStr">
        <is>
          <t>광주</t>
        </is>
      </c>
      <c r="D27" s="27" t="inlineStr">
        <is>
          <t>전해액 혼합치구 적합성 검토</t>
        </is>
      </c>
      <c r="E27" s="12" t="inlineStr">
        <is>
          <t>진행중</t>
        </is>
      </c>
      <c r="F27" s="27" t="inlineStr">
        <is>
          <t>★ 방치 후 5월에 재개됨
아직 완료 아님</t>
        </is>
      </c>
    </row>
    <row r="28" ht="30" customHeight="1">
      <c r="B28" s="12" t="n">
        <v>29</v>
      </c>
      <c r="C28" s="12" t="inlineStr">
        <is>
          <t>광주</t>
        </is>
      </c>
      <c r="D28" s="27" t="inlineStr">
        <is>
          <t>저비중 SG6→SG8 변경 검토</t>
        </is>
      </c>
      <c r="E28" s="12" t="inlineStr">
        <is>
          <t>지연</t>
        </is>
      </c>
      <c r="F28" s="27" t="inlineStr">
        <is>
          <t>★★ 4개월째 미회신
2월 요청→5월까지 미이행</t>
        </is>
      </c>
    </row>
    <row r="29" ht="30" customHeight="1">
      <c r="B29" s="12" t="n">
        <v>30</v>
      </c>
      <c r="C29" s="12" t="inlineStr">
        <is>
          <t>광주</t>
        </is>
      </c>
      <c r="D29" s="27" t="inlineStr">
        <is>
          <t>소형 단자 보호캡 형상 변경</t>
        </is>
      </c>
      <c r="E29" s="12" t="inlineStr">
        <is>
          <t>진행중</t>
        </is>
      </c>
      <c r="F29" s="27" t="inlineStr">
        <is>
          <t>★ 바이어 ECR 확인
결과 미반영</t>
        </is>
      </c>
    </row>
  </sheetData>
  <mergeCells count="2">
    <mergeCell ref="B3:G3"/>
    <mergeCell ref="B2:G2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I85"/>
  <sheetViews>
    <sheetView topLeftCell="A30" workbookViewId="0">
      <selection activeCell="U28" sqref="U28"/>
    </sheetView>
  </sheetViews>
  <sheetFormatPr baseColWidth="8" defaultRowHeight="17.1"/>
  <cols>
    <col width="12.25" customWidth="1" style="94" min="1" max="1"/>
    <col width="26.75" customWidth="1" style="102" min="2" max="2"/>
    <col width="17.75" customWidth="1" style="102" min="3" max="3"/>
    <col width="11.25" customWidth="1" style="94" min="4" max="4"/>
    <col width="8.125" bestFit="1" customWidth="1" style="94" min="5" max="5"/>
    <col width="10.25" customWidth="1" style="102" min="6" max="6"/>
    <col width="10.375" customWidth="1" style="102" min="7" max="7"/>
    <col width="20" bestFit="1" customWidth="1" style="94" min="8" max="8"/>
    <col width="51.125" bestFit="1" customWidth="1" style="102" min="9" max="9"/>
  </cols>
  <sheetData>
    <row r="1" ht="20.45" customHeight="1">
      <c r="A1" s="105" t="inlineStr">
        <is>
          <t>■ 저비중 SG6→SG8 변경 검토</t>
        </is>
      </c>
      <c r="B1" s="95" t="n"/>
      <c r="C1" s="95" t="n"/>
      <c r="D1" s="92" t="n"/>
      <c r="E1" s="92" t="n"/>
      <c r="F1" s="96" t="n"/>
      <c r="G1" s="96" t="n"/>
      <c r="H1" s="92" t="n"/>
      <c r="I1" s="96" t="n"/>
    </row>
    <row r="2">
      <c r="A2" s="92" t="n"/>
      <c r="B2" s="96" t="n"/>
      <c r="C2" s="96" t="n"/>
      <c r="D2" s="92" t="n"/>
      <c r="E2" s="92" t="n"/>
      <c r="F2" s="96" t="n"/>
      <c r="G2" s="96" t="n"/>
      <c r="H2" s="92" t="n"/>
      <c r="I2" s="96" t="inlineStr">
        <is>
          <t>(단위 : 대)</t>
        </is>
      </c>
    </row>
    <row r="3">
      <c r="A3" s="190" t="inlineStr">
        <is>
          <t>팀</t>
        </is>
      </c>
      <c r="B3" s="191" t="inlineStr">
        <is>
          <t>판매처</t>
        </is>
      </c>
      <c r="C3" s="190" t="inlineStr">
        <is>
          <t>판매지역(국가)</t>
        </is>
      </c>
      <c r="D3" s="190" t="inlineStr">
        <is>
          <t>판매처 No</t>
        </is>
      </c>
      <c r="E3" s="190" t="inlineStr">
        <is>
          <t>담당자</t>
        </is>
      </c>
      <c r="F3" s="148" t="inlineStr">
        <is>
          <t>매출수량</t>
        </is>
      </c>
      <c r="G3" s="192" t="n"/>
      <c r="H3" s="193" t="inlineStr">
        <is>
          <t>정상비중 변경 가능여부</t>
        </is>
      </c>
      <c r="I3" s="194" t="inlineStr">
        <is>
          <t>불가시 사유</t>
        </is>
      </c>
    </row>
    <row r="4">
      <c r="A4" s="195" t="n"/>
      <c r="B4" s="195" t="n"/>
      <c r="C4" s="195" t="n"/>
      <c r="D4" s="195" t="n"/>
      <c r="E4" s="195" t="n"/>
      <c r="F4" s="104" t="n">
        <v>2025</v>
      </c>
      <c r="G4" s="104" t="n">
        <v>2026</v>
      </c>
      <c r="H4" s="195" t="n"/>
      <c r="I4" s="195" t="n"/>
    </row>
    <row r="5">
      <c r="A5" s="142" t="inlineStr">
        <is>
          <t>미주팀</t>
        </is>
      </c>
      <c r="B5" s="98" t="inlineStr">
        <is>
          <t>CASA PELLAS SOCIEDAD</t>
        </is>
      </c>
      <c r="C5" s="98" t="n"/>
      <c r="D5" s="103" t="n">
        <v>1410542</v>
      </c>
      <c r="E5" s="103" t="inlineStr">
        <is>
          <t>박윤철</t>
        </is>
      </c>
      <c r="F5" s="98" t="n">
        <v>20</v>
      </c>
      <c r="G5" s="98" t="n">
        <v>80</v>
      </c>
      <c r="H5" s="103" t="inlineStr">
        <is>
          <t>O</t>
        </is>
      </c>
      <c r="I5" s="98" t="inlineStr">
        <is>
          <t xml:space="preserve">　</t>
        </is>
      </c>
    </row>
    <row r="6">
      <c r="A6" s="196" t="n"/>
      <c r="B6" s="98" t="inlineStr">
        <is>
          <t>CORPORACION GRUPO Q</t>
        </is>
      </c>
      <c r="C6" s="98" t="n"/>
      <c r="D6" s="103" t="n">
        <v>1400481</v>
      </c>
      <c r="E6" s="103" t="inlineStr">
        <is>
          <t>박윤철</t>
        </is>
      </c>
      <c r="F6" s="99" t="n">
        <v>7403</v>
      </c>
      <c r="G6" s="99" t="n">
        <v>1443</v>
      </c>
      <c r="H6" s="103" t="inlineStr">
        <is>
          <t>X</t>
        </is>
      </c>
      <c r="I6" s="98" t="inlineStr">
        <is>
          <t>바이어 측 마케팅/홍보 진행으로 인해 변경이 불가</t>
        </is>
      </c>
    </row>
    <row r="7">
      <c r="A7" s="196" t="n"/>
      <c r="B7" s="98" t="inlineStr">
        <is>
          <t>HENRI M. ARTY S.A.</t>
        </is>
      </c>
      <c r="C7" s="98" t="n"/>
      <c r="D7" s="103" t="n">
        <v>1400566</v>
      </c>
      <c r="E7" s="103" t="inlineStr">
        <is>
          <t>박윤철</t>
        </is>
      </c>
      <c r="F7" s="98" t="n">
        <v>864</v>
      </c>
      <c r="G7" s="98" t="n">
        <v>906</v>
      </c>
      <c r="H7" s="103" t="inlineStr">
        <is>
          <t>X</t>
        </is>
      </c>
      <c r="I7" s="98" t="inlineStr">
        <is>
          <t>바이어 측 마케팅/홍보 진행으로 인해 변경이 불가</t>
        </is>
      </c>
    </row>
    <row r="8">
      <c r="A8" s="196" t="n"/>
      <c r="B8" s="98" t="inlineStr">
        <is>
          <t>IMPORTADORA DE BATER</t>
        </is>
      </c>
      <c r="C8" s="98" t="n"/>
      <c r="D8" s="103" t="n">
        <v>1400506</v>
      </c>
      <c r="E8" s="103" t="inlineStr">
        <is>
          <t>박윤철</t>
        </is>
      </c>
      <c r="F8" s="99" t="n">
        <v>122606</v>
      </c>
      <c r="G8" s="99" t="n">
        <v>21480</v>
      </c>
      <c r="H8" s="103" t="inlineStr">
        <is>
          <t>O</t>
        </is>
      </c>
      <c r="I8" s="98" t="inlineStr">
        <is>
          <t xml:space="preserve">　</t>
        </is>
      </c>
    </row>
    <row r="9">
      <c r="A9" s="196" t="n"/>
      <c r="B9" s="98" t="inlineStr">
        <is>
          <t>LAUGHLIN AND DE GANN</t>
        </is>
      </c>
      <c r="C9" s="98" t="n"/>
      <c r="D9" s="103" t="n">
        <v>1400671</v>
      </c>
      <c r="E9" s="103" t="inlineStr">
        <is>
          <t>박윤철</t>
        </is>
      </c>
      <c r="F9" s="99" t="n">
        <v>8651</v>
      </c>
      <c r="G9" s="99" t="n">
        <v>2050</v>
      </c>
      <c r="H9" s="103" t="inlineStr">
        <is>
          <t>X</t>
        </is>
      </c>
      <c r="I9" s="98" t="inlineStr">
        <is>
          <t>바이어 측 마케팅/홍보 진행으로 인해 변경이 불가</t>
        </is>
      </c>
    </row>
    <row r="10">
      <c r="A10" s="196" t="n"/>
      <c r="B10" s="98" t="inlineStr">
        <is>
          <t>LEBRUN S.A.</t>
        </is>
      </c>
      <c r="C10" s="98" t="n"/>
      <c r="D10" s="103" t="n">
        <v>1400561</v>
      </c>
      <c r="E10" s="103" t="inlineStr">
        <is>
          <t>박윤철</t>
        </is>
      </c>
      <c r="F10" s="99" t="n">
        <v>1507</v>
      </c>
      <c r="G10" s="98" t="inlineStr">
        <is>
          <t xml:space="preserve">　</t>
        </is>
      </c>
      <c r="H10" s="103" t="inlineStr">
        <is>
          <t>X</t>
        </is>
      </c>
      <c r="I10" s="98" t="inlineStr">
        <is>
          <t>바이어 측 마케팅/홍보 진행으로 인해 변경이 불가</t>
        </is>
      </c>
    </row>
    <row r="11">
      <c r="A11" s="196" t="n"/>
      <c r="B11" s="98" t="inlineStr">
        <is>
          <t>CHEVROLET SALES (THA</t>
        </is>
      </c>
      <c r="C11" s="98" t="n"/>
      <c r="D11" s="103" t="n">
        <v>1410163</v>
      </c>
      <c r="E11" s="103" t="inlineStr">
        <is>
          <t>정한을</t>
        </is>
      </c>
      <c r="F11" s="99" t="n">
        <v>8089</v>
      </c>
      <c r="G11" s="99" t="n">
        <v>1296</v>
      </c>
      <c r="H11" s="103" t="inlineStr">
        <is>
          <t>X</t>
        </is>
      </c>
      <c r="I11" s="98" t="inlineStr">
        <is>
          <t>OES 납품용</t>
        </is>
      </c>
    </row>
    <row r="12">
      <c r="A12" s="196" t="n"/>
      <c r="B12" s="98" t="inlineStr">
        <is>
          <t>GENERAL MOTORS OVERS</t>
        </is>
      </c>
      <c r="C12" s="98" t="n"/>
      <c r="D12" s="103" t="n">
        <v>1401865</v>
      </c>
      <c r="E12" s="103" t="inlineStr">
        <is>
          <t>정한을</t>
        </is>
      </c>
      <c r="F12" s="99" t="n">
        <v>4938</v>
      </c>
      <c r="G12" s="98" t="inlineStr">
        <is>
          <t xml:space="preserve">　</t>
        </is>
      </c>
      <c r="H12" s="103" t="inlineStr">
        <is>
          <t>X</t>
        </is>
      </c>
      <c r="I12" s="98" t="inlineStr">
        <is>
          <t>OES 납품용</t>
        </is>
      </c>
    </row>
    <row r="13">
      <c r="A13" s="197" t="n"/>
      <c r="B13" s="98" t="inlineStr">
        <is>
          <t>GM AFRICA &amp; MIDDLE E</t>
        </is>
      </c>
      <c r="C13" s="98" t="n"/>
      <c r="D13" s="103" t="n">
        <v>1409969</v>
      </c>
      <c r="E13" s="103" t="inlineStr">
        <is>
          <t>정한을</t>
        </is>
      </c>
      <c r="F13" s="99" t="n">
        <v>2535</v>
      </c>
      <c r="G13" s="98" t="inlineStr">
        <is>
          <t xml:space="preserve">　</t>
        </is>
      </c>
      <c r="H13" s="103" t="inlineStr">
        <is>
          <t>X</t>
        </is>
      </c>
      <c r="I13" s="98" t="inlineStr">
        <is>
          <t>OES 납품용</t>
        </is>
      </c>
    </row>
    <row r="14">
      <c r="A14" s="142" t="inlineStr">
        <is>
          <t>아시아퍼시픽팀</t>
        </is>
      </c>
      <c r="B14" s="98" t="inlineStr">
        <is>
          <t>Robert Bosch GmbH_(K</t>
        </is>
      </c>
      <c r="C14" s="98" t="n"/>
      <c r="D14" s="103" t="n">
        <v>1410128</v>
      </c>
      <c r="E14" s="103" t="inlineStr">
        <is>
          <t>김민지</t>
        </is>
      </c>
      <c r="F14" s="99" t="n">
        <v>132612</v>
      </c>
      <c r="G14" s="99" t="n">
        <v>45874</v>
      </c>
      <c r="H14" s="103" t="inlineStr">
        <is>
          <t>X</t>
        </is>
      </c>
      <c r="I14" s="98" t="inlineStr">
        <is>
          <t>Tender 제품으로 변경 불가</t>
        </is>
      </c>
    </row>
    <row r="15">
      <c r="A15" s="196" t="n"/>
      <c r="B15" s="98" t="inlineStr">
        <is>
          <t>(주)세아스코</t>
        </is>
      </c>
      <c r="C15" s="98" t="n"/>
      <c r="D15" s="103" t="n">
        <v>1400976</v>
      </c>
      <c r="E15" s="103" t="inlineStr">
        <is>
          <t>김지원</t>
        </is>
      </c>
      <c r="F15" s="99" t="n">
        <v>1313</v>
      </c>
      <c r="G15" s="98" t="inlineStr">
        <is>
          <t xml:space="preserve">　</t>
        </is>
      </c>
      <c r="H15" s="103" t="inlineStr">
        <is>
          <t>O</t>
        </is>
      </c>
      <c r="I15" s="98" t="inlineStr">
        <is>
          <t xml:space="preserve">　</t>
        </is>
      </c>
    </row>
    <row r="16">
      <c r="A16" s="196" t="n"/>
      <c r="B16" s="98" t="inlineStr">
        <is>
          <t>(주)시엘청림코리아</t>
        </is>
      </c>
      <c r="C16" s="98" t="n"/>
      <c r="D16" s="103" t="n">
        <v>1401545</v>
      </c>
      <c r="E16" s="103" t="inlineStr">
        <is>
          <t>김지원</t>
        </is>
      </c>
      <c r="F16" s="98" t="n">
        <v>704</v>
      </c>
      <c r="G16" s="98" t="n">
        <v>343</v>
      </c>
      <c r="H16" s="103" t="inlineStr">
        <is>
          <t>△</t>
        </is>
      </c>
      <c r="I16" s="98" t="inlineStr">
        <is>
          <t>소량 거래선으로, 협의 가능 예상</t>
        </is>
      </c>
    </row>
    <row r="17">
      <c r="A17" s="196" t="n"/>
      <c r="B17" s="98" t="inlineStr">
        <is>
          <t>H.H. BATTERY TRADING</t>
        </is>
      </c>
      <c r="C17" s="98" t="n"/>
      <c r="D17" s="103" t="n">
        <v>1410453</v>
      </c>
      <c r="E17" s="103" t="inlineStr">
        <is>
          <t>김지원</t>
        </is>
      </c>
      <c r="F17" s="99" t="n">
        <v>5456</v>
      </c>
      <c r="G17" s="99" t="n">
        <v>1361</v>
      </c>
      <c r="H17" s="103" t="inlineStr">
        <is>
          <t>X</t>
        </is>
      </c>
      <c r="I17" s="98" t="inlineStr">
        <is>
          <t>과거 당사 선 제안 제품</t>
        </is>
      </c>
    </row>
    <row r="18">
      <c r="A18" s="196" t="n"/>
      <c r="B18" s="98" t="inlineStr">
        <is>
          <t>HANS CORP</t>
        </is>
      </c>
      <c r="C18" s="98" t="n"/>
      <c r="D18" s="103" t="n">
        <v>1401401</v>
      </c>
      <c r="E18" s="103" t="inlineStr">
        <is>
          <t>김지원</t>
        </is>
      </c>
      <c r="F18" s="99" t="n">
        <v>3108</v>
      </c>
      <c r="G18" s="99" t="n">
        <v>1066</v>
      </c>
      <c r="H18" s="103" t="inlineStr">
        <is>
          <t>X</t>
        </is>
      </c>
      <c r="I18" s="98" t="inlineStr">
        <is>
          <t>과거 당사 선 제안 제품</t>
        </is>
      </c>
    </row>
    <row r="19">
      <c r="A19" s="196" t="n"/>
      <c r="B19" s="98" t="inlineStr">
        <is>
          <t>HCB TECHNOLOGIES LTD</t>
        </is>
      </c>
      <c r="C19" s="98" t="n"/>
      <c r="D19" s="103" t="n">
        <v>1401285</v>
      </c>
      <c r="E19" s="103" t="inlineStr">
        <is>
          <t>김지원</t>
        </is>
      </c>
      <c r="F19" s="99" t="n">
        <v>9637</v>
      </c>
      <c r="G19" s="99" t="n">
        <v>3618</v>
      </c>
      <c r="H19" s="103" t="inlineStr">
        <is>
          <t>X</t>
        </is>
      </c>
      <c r="I19" s="98" t="inlineStr">
        <is>
          <t>과거 당사 선 제안 제품</t>
        </is>
      </c>
    </row>
    <row r="20">
      <c r="A20" s="196" t="n"/>
      <c r="B20" s="98" t="inlineStr">
        <is>
          <t>INNERSBROOK CORP.</t>
        </is>
      </c>
      <c r="C20" s="98" t="n"/>
      <c r="D20" s="103" t="n">
        <v>1401506</v>
      </c>
      <c r="E20" s="103" t="inlineStr">
        <is>
          <t>김지원</t>
        </is>
      </c>
      <c r="F20" s="99" t="n">
        <v>32802</v>
      </c>
      <c r="G20" s="99" t="n">
        <v>11506</v>
      </c>
      <c r="H20" s="103" t="inlineStr">
        <is>
          <t>X</t>
        </is>
      </c>
      <c r="I20" s="98" t="inlineStr">
        <is>
          <t>과거 당사 선 제안 제품</t>
        </is>
      </c>
    </row>
    <row r="21" ht="27.95" customHeight="1">
      <c r="A21" s="196" t="n"/>
      <c r="B21" s="98" t="inlineStr">
        <is>
          <t>PT YHI Indonesia</t>
        </is>
      </c>
      <c r="C21" s="98" t="n"/>
      <c r="D21" s="103" t="n">
        <v>1410269</v>
      </c>
      <c r="E21" s="103" t="inlineStr">
        <is>
          <t>김지원</t>
        </is>
      </c>
      <c r="F21" s="99" t="n">
        <v>4563</v>
      </c>
      <c r="G21" s="99" t="n">
        <v>8539</v>
      </c>
      <c r="H21" s="103" t="inlineStr">
        <is>
          <t>X</t>
        </is>
      </c>
      <c r="I21" s="100" t="inlineStr">
        <is>
          <t>동남아 지역의 높은 수요
저비중 전환 후 매출 증가</t>
        </is>
      </c>
    </row>
    <row r="22">
      <c r="A22" s="196" t="n"/>
      <c r="B22" s="98" t="inlineStr">
        <is>
          <t>PT. DIRGAPUTRA EKAPR</t>
        </is>
      </c>
      <c r="C22" s="98" t="n"/>
      <c r="D22" s="103" t="n">
        <v>1410258</v>
      </c>
      <c r="E22" s="103" t="inlineStr">
        <is>
          <t>김지원</t>
        </is>
      </c>
      <c r="F22" s="99" t="n">
        <v>22445</v>
      </c>
      <c r="G22" s="99" t="n">
        <v>15066</v>
      </c>
      <c r="H22" s="103" t="inlineStr">
        <is>
          <t>X</t>
        </is>
      </c>
      <c r="I22" s="98" t="inlineStr">
        <is>
          <t>과거 당사 선 제안 제품</t>
        </is>
      </c>
    </row>
    <row r="23">
      <c r="A23" s="196" t="n"/>
      <c r="B23" s="98" t="inlineStr">
        <is>
          <t>YHI CORPORATION (SIN</t>
        </is>
      </c>
      <c r="C23" s="98" t="n"/>
      <c r="D23" s="103" t="n">
        <v>1401864</v>
      </c>
      <c r="E23" s="103" t="inlineStr">
        <is>
          <t>김지원</t>
        </is>
      </c>
      <c r="F23" s="99" t="n">
        <v>19772</v>
      </c>
      <c r="G23" s="99" t="n">
        <v>6147</v>
      </c>
      <c r="H23" s="103" t="inlineStr">
        <is>
          <t>X</t>
        </is>
      </c>
      <c r="I23" s="98" t="inlineStr">
        <is>
          <t>과거 당사 선 제안 제품</t>
        </is>
      </c>
    </row>
    <row r="24">
      <c r="A24" s="196" t="n"/>
      <c r="B24" s="98" t="inlineStr">
        <is>
          <t>YHI POWER MALAYSIA S</t>
        </is>
      </c>
      <c r="C24" s="98" t="n"/>
      <c r="D24" s="103" t="n">
        <v>1410514</v>
      </c>
      <c r="E24" s="103" t="inlineStr">
        <is>
          <t>김지원</t>
        </is>
      </c>
      <c r="F24" s="99" t="n">
        <v>9198</v>
      </c>
      <c r="G24" s="99" t="n">
        <v>4212</v>
      </c>
      <c r="H24" s="103" t="inlineStr">
        <is>
          <t>X</t>
        </is>
      </c>
      <c r="I24" s="98" t="inlineStr">
        <is>
          <t>과거 당사 선 제안 제품</t>
        </is>
      </c>
    </row>
    <row r="25">
      <c r="A25" s="196" t="n"/>
      <c r="B25" s="98" t="inlineStr">
        <is>
          <t>(주)빌탑</t>
        </is>
      </c>
      <c r="C25" s="98" t="n"/>
      <c r="D25" s="103" t="n">
        <v>1401981</v>
      </c>
      <c r="E25" s="103" t="inlineStr">
        <is>
          <t>응웬퀸뉴</t>
        </is>
      </c>
      <c r="F25" s="99" t="n">
        <v>26582</v>
      </c>
      <c r="G25" s="99" t="n">
        <v>7711</v>
      </c>
      <c r="H25" s="103" t="inlineStr">
        <is>
          <t>X</t>
        </is>
      </c>
      <c r="I25" s="98" t="inlineStr">
        <is>
          <t>동남아 지역의 높은 수요</t>
        </is>
      </c>
    </row>
    <row r="26">
      <c r="A26" s="196" t="n"/>
      <c r="B26" s="98" t="inlineStr">
        <is>
          <t>AUTO WORLD(KOLAO DEV</t>
        </is>
      </c>
      <c r="C26" s="98" t="n"/>
      <c r="D26" s="103" t="n">
        <v>1402060</v>
      </c>
      <c r="E26" s="103" t="inlineStr">
        <is>
          <t>응웬퀸뉴</t>
        </is>
      </c>
      <c r="F26" s="99" t="n">
        <v>3121</v>
      </c>
      <c r="G26" s="99" t="n">
        <v>1390</v>
      </c>
      <c r="H26" s="103" t="inlineStr">
        <is>
          <t>△</t>
        </is>
      </c>
      <c r="I26" s="98" t="inlineStr">
        <is>
          <t>고객과 협의 필요</t>
        </is>
      </c>
    </row>
    <row r="27">
      <c r="A27" s="196" t="n"/>
      <c r="B27" s="98" t="inlineStr">
        <is>
          <t>BORNEO TECHNICAL (TH</t>
        </is>
      </c>
      <c r="C27" s="98" t="n"/>
      <c r="D27" s="103" t="n">
        <v>1402028</v>
      </c>
      <c r="E27" s="103" t="inlineStr">
        <is>
          <t>응웬퀸뉴</t>
        </is>
      </c>
      <c r="F27" s="99" t="n">
        <v>19509</v>
      </c>
      <c r="G27" s="99" t="n">
        <v>19612</v>
      </c>
      <c r="H27" s="103" t="inlineStr">
        <is>
          <t>X</t>
        </is>
      </c>
      <c r="I27" s="98" t="inlineStr">
        <is>
          <t>동남아 지역의 높은 수요</t>
        </is>
      </c>
    </row>
    <row r="28">
      <c r="A28" s="196" t="n"/>
      <c r="B28" s="98" t="inlineStr">
        <is>
          <t>DOUGLAS AND SONS LTD</t>
        </is>
      </c>
      <c r="C28" s="98" t="n"/>
      <c r="D28" s="103" t="n">
        <v>1402201</v>
      </c>
      <c r="E28" s="103" t="inlineStr">
        <is>
          <t>응웬퀸뉴</t>
        </is>
      </c>
      <c r="F28" s="98" t="n">
        <v>540</v>
      </c>
      <c r="G28" s="98" t="inlineStr">
        <is>
          <t xml:space="preserve">　</t>
        </is>
      </c>
      <c r="H28" s="103" t="inlineStr">
        <is>
          <t>O</t>
        </is>
      </c>
      <c r="I28" s="98" t="inlineStr">
        <is>
          <t xml:space="preserve">　</t>
        </is>
      </c>
    </row>
    <row r="29">
      <c r="A29" s="196" t="n"/>
      <c r="B29" s="98" t="inlineStr">
        <is>
          <t>GIA PHAT</t>
        </is>
      </c>
      <c r="C29" s="103" t="inlineStr">
        <is>
          <t>베트남</t>
        </is>
      </c>
      <c r="D29" s="103" t="n">
        <v>1401977</v>
      </c>
      <c r="E29" s="103" t="inlineStr">
        <is>
          <t>응웬퀸뉴</t>
        </is>
      </c>
      <c r="F29" s="99" t="n">
        <v>60986</v>
      </c>
      <c r="G29" s="99" t="n">
        <v>18953</v>
      </c>
      <c r="H29" s="103" t="inlineStr">
        <is>
          <t>X</t>
        </is>
      </c>
      <c r="I29" s="98" t="inlineStr">
        <is>
          <t>동남아 지역의 높은 수요</t>
        </is>
      </c>
    </row>
    <row r="30">
      <c r="A30" s="196" t="n"/>
      <c r="B30" s="98" t="inlineStr">
        <is>
          <t>Global New Power (Da</t>
        </is>
      </c>
      <c r="C30" s="98" t="n"/>
      <c r="D30" s="103" t="n">
        <v>1401583</v>
      </c>
      <c r="E30" s="103" t="inlineStr">
        <is>
          <t>응웬퀸뉴</t>
        </is>
      </c>
      <c r="F30" s="98" t="n">
        <v>110</v>
      </c>
      <c r="G30" s="98" t="inlineStr">
        <is>
          <t xml:space="preserve">　</t>
        </is>
      </c>
      <c r="H30" s="103" t="inlineStr">
        <is>
          <t>O</t>
        </is>
      </c>
      <c r="I30" s="98" t="inlineStr">
        <is>
          <t xml:space="preserve">　</t>
        </is>
      </c>
    </row>
    <row r="31">
      <c r="A31" s="196" t="n"/>
      <c r="B31" s="98" t="inlineStr">
        <is>
          <t>MALPY MACHINERY(B) S</t>
        </is>
      </c>
      <c r="C31" s="98" t="n"/>
      <c r="D31" s="103" t="n">
        <v>1410409</v>
      </c>
      <c r="E31" s="103" t="inlineStr">
        <is>
          <t>응웬퀸뉴</t>
        </is>
      </c>
      <c r="F31" s="98" t="n">
        <v>842</v>
      </c>
      <c r="G31" s="98" t="inlineStr">
        <is>
          <t xml:space="preserve">　</t>
        </is>
      </c>
      <c r="H31" s="103" t="inlineStr">
        <is>
          <t>O</t>
        </is>
      </c>
      <c r="I31" s="98" t="inlineStr">
        <is>
          <t xml:space="preserve">　</t>
        </is>
      </c>
    </row>
    <row r="32">
      <c r="A32" s="196" t="n"/>
      <c r="B32" s="98" t="inlineStr">
        <is>
          <t>Petrobat Trading (OP</t>
        </is>
      </c>
      <c r="C32" s="98" t="n"/>
      <c r="D32" s="103" t="n">
        <v>1401813</v>
      </c>
      <c r="E32" s="103" t="inlineStr">
        <is>
          <t>응웬퀸뉴</t>
        </is>
      </c>
      <c r="F32" s="99" t="n">
        <v>3667</v>
      </c>
      <c r="G32" s="98" t="inlineStr">
        <is>
          <t xml:space="preserve">　</t>
        </is>
      </c>
      <c r="H32" s="103" t="inlineStr">
        <is>
          <t>△</t>
        </is>
      </c>
      <c r="I32" s="98" t="inlineStr">
        <is>
          <t>소량 거래선으로, 협의 가능 예상</t>
        </is>
      </c>
    </row>
    <row r="33">
      <c r="A33" s="196" t="n"/>
      <c r="B33" s="98" t="inlineStr">
        <is>
          <t>Rocket batteries Ind</t>
        </is>
      </c>
      <c r="C33" s="98" t="n"/>
      <c r="D33" s="103" t="n">
        <v>1402148</v>
      </c>
      <c r="E33" s="103" t="inlineStr">
        <is>
          <t>응웬퀸뉴</t>
        </is>
      </c>
      <c r="F33" s="99" t="n">
        <v>4521</v>
      </c>
      <c r="G33" s="98" t="n">
        <v>692</v>
      </c>
      <c r="H33" s="103" t="inlineStr">
        <is>
          <t>△</t>
        </is>
      </c>
      <c r="I33" s="98" t="inlineStr">
        <is>
          <t>소량 거래선으로, 협의 가능 예상</t>
        </is>
      </c>
    </row>
    <row r="34">
      <c r="A34" s="196" t="n"/>
      <c r="B34" s="98" t="inlineStr">
        <is>
          <t>S.M.S COMPANY LIMITE</t>
        </is>
      </c>
      <c r="C34" s="98" t="n"/>
      <c r="D34" s="103" t="n">
        <v>1410321</v>
      </c>
      <c r="E34" s="103" t="inlineStr">
        <is>
          <t>응웬퀸뉴</t>
        </is>
      </c>
      <c r="F34" s="98" t="n">
        <v>312</v>
      </c>
      <c r="G34" s="98" t="inlineStr">
        <is>
          <t xml:space="preserve">　</t>
        </is>
      </c>
      <c r="H34" s="103" t="inlineStr">
        <is>
          <t>O</t>
        </is>
      </c>
      <c r="I34" s="98" t="inlineStr">
        <is>
          <t xml:space="preserve">　</t>
        </is>
      </c>
    </row>
    <row r="35">
      <c r="A35" s="196" t="n"/>
      <c r="B35" s="98" t="inlineStr">
        <is>
          <t>Sebang Battery Vina</t>
        </is>
      </c>
      <c r="C35" s="98" t="n"/>
      <c r="D35" s="103" t="n">
        <v>1410319</v>
      </c>
      <c r="E35" s="103" t="inlineStr">
        <is>
          <t>응웬퀸뉴</t>
        </is>
      </c>
      <c r="F35" s="99" t="n">
        <v>21032</v>
      </c>
      <c r="G35" s="99" t="n">
        <v>1565</v>
      </c>
      <c r="H35" s="103" t="inlineStr">
        <is>
          <t>X</t>
        </is>
      </c>
      <c r="I35" s="98" t="inlineStr">
        <is>
          <t>동남아 지역의 높은 수요</t>
        </is>
      </c>
    </row>
    <row r="36">
      <c r="A36" s="196" t="n"/>
      <c r="B36" s="98" t="inlineStr">
        <is>
          <t>SONG TIN TELECOM JSC</t>
        </is>
      </c>
      <c r="C36" s="98" t="n"/>
      <c r="D36" s="103" t="n">
        <v>1401971</v>
      </c>
      <c r="E36" s="103" t="inlineStr">
        <is>
          <t>응웬퀸뉴</t>
        </is>
      </c>
      <c r="F36" s="99" t="n">
        <v>59739</v>
      </c>
      <c r="G36" s="99" t="n">
        <v>19108</v>
      </c>
      <c r="H36" s="103" t="inlineStr">
        <is>
          <t>X</t>
        </is>
      </c>
      <c r="I36" s="98" t="inlineStr">
        <is>
          <t>동남아 지역의 높은 수요</t>
        </is>
      </c>
    </row>
    <row r="37">
      <c r="A37" s="196" t="n"/>
      <c r="B37" s="98" t="inlineStr">
        <is>
          <t>TPL Industrial Sales</t>
        </is>
      </c>
      <c r="C37" s="98" t="n"/>
      <c r="D37" s="103" t="n">
        <v>1409904</v>
      </c>
      <c r="E37" s="103" t="inlineStr">
        <is>
          <t>응웬퀸뉴</t>
        </is>
      </c>
      <c r="F37" s="99" t="n">
        <v>12301</v>
      </c>
      <c r="G37" s="99" t="n">
        <v>6280</v>
      </c>
      <c r="H37" s="103" t="inlineStr">
        <is>
          <t>△</t>
        </is>
      </c>
      <c r="I37" s="98" t="inlineStr">
        <is>
          <t>소량 거래선으로, 협의 가능 예상</t>
        </is>
      </c>
    </row>
    <row r="38">
      <c r="A38" s="196" t="n"/>
      <c r="B38" s="98" t="inlineStr">
        <is>
          <t>태우상사주식회사</t>
        </is>
      </c>
      <c r="C38" s="98" t="n"/>
      <c r="D38" s="103" t="n">
        <v>1400543</v>
      </c>
      <c r="E38" s="103" t="inlineStr">
        <is>
          <t>응웬퀸뉴</t>
        </is>
      </c>
      <c r="F38" s="99" t="n">
        <v>2461</v>
      </c>
      <c r="G38" s="98" t="inlineStr">
        <is>
          <t xml:space="preserve">　</t>
        </is>
      </c>
      <c r="H38" s="103" t="inlineStr">
        <is>
          <t>△</t>
        </is>
      </c>
      <c r="I38" s="98" t="inlineStr">
        <is>
          <t>소량 거래선으로, 협의 가능 예상</t>
        </is>
      </c>
    </row>
    <row r="39">
      <c r="A39" s="196" t="n"/>
      <c r="B39" s="98" t="inlineStr">
        <is>
          <t>CLUB ASSIST PTY LTD.</t>
        </is>
      </c>
      <c r="C39" s="98" t="n"/>
      <c r="D39" s="103" t="n">
        <v>1401250</v>
      </c>
      <c r="E39" s="103" t="inlineStr">
        <is>
          <t>이수랑</t>
        </is>
      </c>
      <c r="F39" s="99" t="n">
        <v>24112</v>
      </c>
      <c r="G39" s="99" t="n">
        <v>10816</v>
      </c>
      <c r="H39" s="103" t="inlineStr">
        <is>
          <t>△</t>
        </is>
      </c>
      <c r="I39" s="98" t="inlineStr">
        <is>
          <t>고객과 협의 필요</t>
        </is>
      </c>
    </row>
    <row r="40">
      <c r="A40" s="196" t="n"/>
      <c r="B40" s="98" t="inlineStr">
        <is>
          <t>BROAD CO., LTD</t>
        </is>
      </c>
      <c r="C40" s="98" t="n"/>
      <c r="D40" s="103" t="n">
        <v>1403029</v>
      </c>
      <c r="E40" s="103" t="inlineStr">
        <is>
          <t>정유정</t>
        </is>
      </c>
      <c r="F40" s="99" t="n">
        <v>16743</v>
      </c>
      <c r="G40" s="99" t="n">
        <v>1849</v>
      </c>
      <c r="H40" s="103" t="inlineStr">
        <is>
          <t>X</t>
        </is>
      </c>
      <c r="I40" s="98" t="inlineStr">
        <is>
          <t xml:space="preserve">26년 런칭 자사브랜드 포함 </t>
        </is>
      </c>
    </row>
    <row r="41">
      <c r="A41" s="196" t="n"/>
      <c r="B41" s="98" t="inlineStr">
        <is>
          <t>DENSEI CO.,LTD.</t>
        </is>
      </c>
      <c r="C41" s="98" t="n"/>
      <c r="D41" s="103" t="n">
        <v>1403025</v>
      </c>
      <c r="E41" s="103" t="inlineStr">
        <is>
          <t>정유정</t>
        </is>
      </c>
      <c r="F41" s="99" t="n">
        <v>1638</v>
      </c>
      <c r="G41" s="98" t="n">
        <v>253</v>
      </c>
      <c r="H41" s="103" t="inlineStr">
        <is>
          <t>X</t>
        </is>
      </c>
      <c r="I41" s="98" t="inlineStr">
        <is>
          <t>과거 당사 선 제안 제품</t>
        </is>
      </c>
    </row>
    <row r="42">
      <c r="A42" s="196" t="n"/>
      <c r="B42" s="98" t="inlineStr">
        <is>
          <t>HELLA Asia Singapore</t>
        </is>
      </c>
      <c r="C42" s="98" t="n"/>
      <c r="D42" s="103" t="n">
        <v>1409856</v>
      </c>
      <c r="E42" s="103" t="inlineStr">
        <is>
          <t>정유정</t>
        </is>
      </c>
      <c r="F42" s="99" t="n">
        <v>2484</v>
      </c>
      <c r="G42" s="98" t="n">
        <v>912</v>
      </c>
      <c r="H42" s="103" t="inlineStr">
        <is>
          <t>X</t>
        </is>
      </c>
      <c r="I42" s="98" t="inlineStr">
        <is>
          <t>과거 당사 선 제안 제품</t>
        </is>
      </c>
    </row>
    <row r="43">
      <c r="A43" s="196" t="n"/>
      <c r="B43" s="98" t="inlineStr">
        <is>
          <t>NAKANO CO., LTD.</t>
        </is>
      </c>
      <c r="C43" s="98" t="n"/>
      <c r="D43" s="103" t="n">
        <v>1403003</v>
      </c>
      <c r="E43" s="103" t="inlineStr">
        <is>
          <t>정유정</t>
        </is>
      </c>
      <c r="F43" s="99" t="n">
        <v>10880</v>
      </c>
      <c r="G43" s="99" t="n">
        <v>4815</v>
      </c>
      <c r="H43" s="103" t="inlineStr">
        <is>
          <t>X</t>
        </is>
      </c>
      <c r="I43" s="98" t="inlineStr">
        <is>
          <t>고객사  라인업 설정 및 높은 수요</t>
        </is>
      </c>
    </row>
    <row r="44">
      <c r="A44" s="197" t="n"/>
      <c r="B44" s="98" t="inlineStr">
        <is>
          <t>NIHON BLADE co.,ltd.</t>
        </is>
      </c>
      <c r="C44" s="98" t="n"/>
      <c r="D44" s="103" t="n">
        <v>1410479</v>
      </c>
      <c r="E44" s="103" t="inlineStr">
        <is>
          <t>정유정</t>
        </is>
      </c>
      <c r="F44" s="98" t="n">
        <v>951</v>
      </c>
      <c r="G44" s="98" t="inlineStr">
        <is>
          <t xml:space="preserve">　</t>
        </is>
      </c>
      <c r="H44" s="103" t="inlineStr">
        <is>
          <t>O</t>
        </is>
      </c>
      <c r="I44" s="98" t="inlineStr">
        <is>
          <t>모두 전환 완료</t>
        </is>
      </c>
    </row>
    <row r="45">
      <c r="A45" s="142" t="inlineStr">
        <is>
          <t>중동아프리카팀</t>
        </is>
      </c>
      <c r="B45" s="98" t="inlineStr">
        <is>
          <t>(주)퍼시픽양행</t>
        </is>
      </c>
      <c r="C45" s="98" t="n"/>
      <c r="D45" s="103" t="n">
        <v>1400354</v>
      </c>
      <c r="E45" s="103" t="n">
        <v>0</v>
      </c>
      <c r="F45" s="99" t="n">
        <v>14180</v>
      </c>
      <c r="G45" s="99" t="n">
        <v>6624</v>
      </c>
      <c r="H45" s="103" t="inlineStr">
        <is>
          <t>O</t>
        </is>
      </c>
      <c r="I45" s="98" t="inlineStr">
        <is>
          <t xml:space="preserve">　</t>
        </is>
      </c>
    </row>
    <row r="46">
      <c r="A46" s="196" t="n"/>
      <c r="B46" s="98" t="inlineStr">
        <is>
          <t>AMYAL GENERAL TRADIN</t>
        </is>
      </c>
      <c r="C46" s="98" t="n"/>
      <c r="D46" s="103" t="n">
        <v>1409775</v>
      </c>
      <c r="E46" s="103" t="n">
        <v>0</v>
      </c>
      <c r="F46" s="98" t="n">
        <v>90</v>
      </c>
      <c r="G46" s="98" t="inlineStr">
        <is>
          <t xml:space="preserve">　</t>
        </is>
      </c>
      <c r="H46" s="103" t="inlineStr">
        <is>
          <t>O</t>
        </is>
      </c>
      <c r="I46" s="98" t="inlineStr">
        <is>
          <t xml:space="preserve">　</t>
        </is>
      </c>
    </row>
    <row r="47">
      <c r="A47" s="196" t="n"/>
      <c r="B47" s="98" t="inlineStr">
        <is>
          <t>Atlas Battery Compan</t>
        </is>
      </c>
      <c r="C47" s="98" t="n"/>
      <c r="D47" s="103" t="n">
        <v>1409775</v>
      </c>
      <c r="E47" s="103" t="n">
        <v>0</v>
      </c>
      <c r="F47" s="98" t="inlineStr">
        <is>
          <t xml:space="preserve">　</t>
        </is>
      </c>
      <c r="G47" s="98" t="n">
        <v>64</v>
      </c>
      <c r="H47" s="103" t="inlineStr">
        <is>
          <t>O</t>
        </is>
      </c>
      <c r="I47" s="98" t="inlineStr">
        <is>
          <t xml:space="preserve">　</t>
        </is>
      </c>
    </row>
    <row r="48">
      <c r="A48" s="196" t="n"/>
      <c r="B48" s="98" t="inlineStr">
        <is>
          <t>ETS KHALIFE POUR LES</t>
        </is>
      </c>
      <c r="C48" s="98" t="n"/>
      <c r="D48" s="103" t="n">
        <v>1405433</v>
      </c>
      <c r="E48" s="103" t="inlineStr">
        <is>
          <t>김창현</t>
        </is>
      </c>
      <c r="F48" s="98" t="n">
        <v>20</v>
      </c>
      <c r="G48" s="98" t="inlineStr">
        <is>
          <t xml:space="preserve">　</t>
        </is>
      </c>
      <c r="H48" s="103" t="inlineStr">
        <is>
          <t>O</t>
        </is>
      </c>
      <c r="I48" s="98" t="inlineStr">
        <is>
          <t xml:space="preserve">　</t>
        </is>
      </c>
    </row>
    <row r="49">
      <c r="A49" s="196" t="n"/>
      <c r="B49" s="98" t="inlineStr">
        <is>
          <t>AZB INTERNATIONAL FZ</t>
        </is>
      </c>
      <c r="C49" s="98" t="n"/>
      <c r="D49" s="103" t="n">
        <v>1405221</v>
      </c>
      <c r="E49" s="103" t="inlineStr">
        <is>
          <t>박병준</t>
        </is>
      </c>
      <c r="F49" s="98" t="n">
        <v>168</v>
      </c>
      <c r="G49" s="99" t="n">
        <v>1131</v>
      </c>
      <c r="H49" s="103" t="inlineStr">
        <is>
          <t>X</t>
        </is>
      </c>
      <c r="I49" s="98" t="inlineStr">
        <is>
          <t>나이지리아 조건 고려시 시장의 40~50% 차량 SG6 저비중 필요</t>
        </is>
      </c>
    </row>
    <row r="50">
      <c r="A50" s="196" t="n"/>
      <c r="B50" s="98" t="inlineStr">
        <is>
          <t>EAST CITY ESTABLISHM</t>
        </is>
      </c>
      <c r="C50" s="98" t="n"/>
      <c r="D50" s="103" t="n">
        <v>1410505</v>
      </c>
      <c r="E50" s="103" t="inlineStr">
        <is>
          <t>배웅기</t>
        </is>
      </c>
      <c r="F50" s="98" t="n">
        <v>144</v>
      </c>
      <c r="G50" s="98" t="inlineStr">
        <is>
          <t xml:space="preserve">　</t>
        </is>
      </c>
      <c r="H50" s="103" t="inlineStr">
        <is>
          <t>O</t>
        </is>
      </c>
      <c r="I50" s="98" t="inlineStr">
        <is>
          <t xml:space="preserve">　</t>
        </is>
      </c>
    </row>
    <row r="51">
      <c r="A51" s="196" t="n"/>
      <c r="B51" s="98" t="inlineStr">
        <is>
          <t>M/S NICKEL GLASS AND</t>
        </is>
      </c>
      <c r="C51" s="98" t="n"/>
      <c r="D51" s="103" t="n">
        <v>1405053</v>
      </c>
      <c r="E51" s="103" t="inlineStr">
        <is>
          <t>배웅기</t>
        </is>
      </c>
      <c r="F51" s="99" t="n">
        <v>52781</v>
      </c>
      <c r="G51" s="98" t="inlineStr">
        <is>
          <t xml:space="preserve">　</t>
        </is>
      </c>
      <c r="H51" s="103" t="inlineStr">
        <is>
          <t>O</t>
        </is>
      </c>
      <c r="I51" s="98" t="inlineStr">
        <is>
          <t xml:space="preserve">　</t>
        </is>
      </c>
    </row>
    <row r="52">
      <c r="A52" s="196" t="n"/>
      <c r="B52" s="98" t="inlineStr">
        <is>
          <t>BARNET TRADING ENT</t>
        </is>
      </c>
      <c r="C52" s="98" t="n"/>
      <c r="D52" s="103" t="n">
        <v>1410187</v>
      </c>
      <c r="E52" s="103" t="inlineStr">
        <is>
          <t>손동현</t>
        </is>
      </c>
      <c r="F52" s="99" t="n">
        <v>1120</v>
      </c>
      <c r="G52" s="98" t="inlineStr">
        <is>
          <t xml:space="preserve">　</t>
        </is>
      </c>
      <c r="H52" s="103" t="inlineStr">
        <is>
          <t>O</t>
        </is>
      </c>
      <c r="I52" s="98" t="inlineStr">
        <is>
          <t xml:space="preserve">　</t>
        </is>
      </c>
    </row>
    <row r="53">
      <c r="A53" s="196" t="n"/>
      <c r="B53" s="98" t="inlineStr">
        <is>
          <t>CIRRUS S.A</t>
        </is>
      </c>
      <c r="C53" s="98" t="n"/>
      <c r="D53" s="103" t="n">
        <v>1407422</v>
      </c>
      <c r="E53" s="103" t="inlineStr">
        <is>
          <t>손동현</t>
        </is>
      </c>
      <c r="F53" s="99" t="n">
        <v>2826</v>
      </c>
      <c r="G53" s="99" t="n">
        <v>1251</v>
      </c>
      <c r="H53" s="103" t="inlineStr">
        <is>
          <t>O</t>
        </is>
      </c>
      <c r="I53" s="98" t="inlineStr">
        <is>
          <t xml:space="preserve">　</t>
        </is>
      </c>
    </row>
    <row r="54">
      <c r="A54" s="196" t="n"/>
      <c r="B54" s="98" t="inlineStr">
        <is>
          <t>Econergy Korea</t>
        </is>
      </c>
      <c r="C54" s="98" t="n"/>
      <c r="D54" s="103" t="n">
        <v>1410558</v>
      </c>
      <c r="E54" s="103" t="inlineStr">
        <is>
          <t>손동현</t>
        </is>
      </c>
      <c r="F54" s="98" t="inlineStr">
        <is>
          <t xml:space="preserve">　</t>
        </is>
      </c>
      <c r="G54" s="98" t="n">
        <v>288</v>
      </c>
      <c r="H54" s="103" t="inlineStr">
        <is>
          <t>O</t>
        </is>
      </c>
      <c r="I54" s="98" t="inlineStr">
        <is>
          <t xml:space="preserve">　</t>
        </is>
      </c>
    </row>
    <row r="55">
      <c r="A55" s="196" t="n"/>
      <c r="B55" s="98" t="inlineStr">
        <is>
          <t>ETHIO GULF GENERAL T</t>
        </is>
      </c>
      <c r="C55" s="98" t="n"/>
      <c r="D55" s="103" t="n">
        <v>1410550</v>
      </c>
      <c r="E55" s="103" t="inlineStr">
        <is>
          <t>손동현</t>
        </is>
      </c>
      <c r="F55" s="98" t="inlineStr">
        <is>
          <t xml:space="preserve">　</t>
        </is>
      </c>
      <c r="G55" s="98" t="n">
        <v>55</v>
      </c>
      <c r="H55" s="103" t="inlineStr">
        <is>
          <t>O</t>
        </is>
      </c>
      <c r="I55" s="98" t="inlineStr">
        <is>
          <t xml:space="preserve">　</t>
        </is>
      </c>
    </row>
    <row r="56">
      <c r="A56" s="196" t="n"/>
      <c r="B56" s="98" t="inlineStr">
        <is>
          <t>GO FAR LTD</t>
        </is>
      </c>
      <c r="C56" s="98" t="n"/>
      <c r="D56" s="103" t="n">
        <v>1408008</v>
      </c>
      <c r="E56" s="103" t="inlineStr">
        <is>
          <t>손동현</t>
        </is>
      </c>
      <c r="F56" s="99" t="n">
        <v>4592</v>
      </c>
      <c r="G56" s="99" t="n">
        <v>1554</v>
      </c>
      <c r="H56" s="103" t="inlineStr">
        <is>
          <t>O</t>
        </is>
      </c>
      <c r="I56" s="98" t="inlineStr">
        <is>
          <t xml:space="preserve">　</t>
        </is>
      </c>
    </row>
    <row r="57">
      <c r="A57" s="196" t="n"/>
      <c r="B57" s="98" t="inlineStr">
        <is>
          <t>IVOIRIENNE PIECES RE</t>
        </is>
      </c>
      <c r="C57" s="98" t="n"/>
      <c r="D57" s="103" t="n">
        <v>1406364</v>
      </c>
      <c r="E57" s="103" t="inlineStr">
        <is>
          <t>손동현</t>
        </is>
      </c>
      <c r="F57" s="99" t="n">
        <v>1410</v>
      </c>
      <c r="G57" s="98" t="n">
        <v>787</v>
      </c>
      <c r="H57" s="103" t="inlineStr">
        <is>
          <t>O</t>
        </is>
      </c>
      <c r="I57" s="98" t="inlineStr">
        <is>
          <t xml:space="preserve">　</t>
        </is>
      </c>
    </row>
    <row r="58">
      <c r="A58" s="196" t="n"/>
      <c r="B58" s="98" t="inlineStr">
        <is>
          <t>LEAL &amp; CO. LTD</t>
        </is>
      </c>
      <c r="C58" s="98" t="n"/>
      <c r="D58" s="103" t="n">
        <v>1410413</v>
      </c>
      <c r="E58" s="103" t="inlineStr">
        <is>
          <t>손동현</t>
        </is>
      </c>
      <c r="F58" s="99" t="n">
        <v>2160</v>
      </c>
      <c r="G58" s="99" t="n">
        <v>1124</v>
      </c>
      <c r="H58" s="103" t="inlineStr">
        <is>
          <t>O</t>
        </is>
      </c>
      <c r="I58" s="98" t="inlineStr">
        <is>
          <t xml:space="preserve">　</t>
        </is>
      </c>
    </row>
    <row r="59">
      <c r="A59" s="196" t="n"/>
      <c r="B59" s="98" t="inlineStr">
        <is>
          <t>MERCURE DISTRI SERVI</t>
        </is>
      </c>
      <c r="C59" s="98" t="n"/>
      <c r="D59" s="103" t="n">
        <v>1407427</v>
      </c>
      <c r="E59" s="103" t="inlineStr">
        <is>
          <t>손동현</t>
        </is>
      </c>
      <c r="F59" s="99" t="n">
        <v>1385</v>
      </c>
      <c r="G59" s="98" t="n">
        <v>678</v>
      </c>
      <c r="H59" s="103" t="inlineStr">
        <is>
          <t>O</t>
        </is>
      </c>
      <c r="I59" s="98" t="inlineStr">
        <is>
          <t xml:space="preserve">　</t>
        </is>
      </c>
    </row>
    <row r="60">
      <c r="A60" s="196" t="n"/>
      <c r="B60" s="98" t="inlineStr">
        <is>
          <t>NEW TYRE SARL</t>
        </is>
      </c>
      <c r="C60" s="98" t="n"/>
      <c r="D60" s="103" t="n">
        <v>1410088</v>
      </c>
      <c r="E60" s="103" t="inlineStr">
        <is>
          <t>손동현</t>
        </is>
      </c>
      <c r="F60" s="99" t="n">
        <v>2954</v>
      </c>
      <c r="G60" s="99" t="n">
        <v>1250</v>
      </c>
      <c r="H60" s="103" t="inlineStr">
        <is>
          <t>O</t>
        </is>
      </c>
      <c r="I60" s="98" t="inlineStr">
        <is>
          <t xml:space="preserve">　</t>
        </is>
      </c>
    </row>
    <row r="61">
      <c r="A61" s="196" t="n"/>
      <c r="B61" s="98" t="inlineStr">
        <is>
          <t>NOBLE AUTO LDA.</t>
        </is>
      </c>
      <c r="C61" s="98" t="n"/>
      <c r="D61" s="103" t="n">
        <v>1410228</v>
      </c>
      <c r="E61" s="103" t="inlineStr">
        <is>
          <t>손동현</t>
        </is>
      </c>
      <c r="F61" s="99" t="n">
        <v>46917</v>
      </c>
      <c r="G61" s="98" t="inlineStr">
        <is>
          <t xml:space="preserve">　</t>
        </is>
      </c>
      <c r="H61" s="103" t="inlineStr">
        <is>
          <t>O</t>
        </is>
      </c>
      <c r="I61" s="98" t="inlineStr">
        <is>
          <t xml:space="preserve">　</t>
        </is>
      </c>
    </row>
    <row r="62">
      <c r="A62" s="196" t="n"/>
      <c r="B62" s="98" t="inlineStr">
        <is>
          <t>NOBLE UNICOM LDA.</t>
        </is>
      </c>
      <c r="C62" s="98" t="n"/>
      <c r="D62" s="103" t="n">
        <v>1410228</v>
      </c>
      <c r="E62" s="103" t="inlineStr">
        <is>
          <t>손동현</t>
        </is>
      </c>
      <c r="F62" s="99" t="n">
        <v>6459</v>
      </c>
      <c r="G62" s="99" t="n">
        <v>32446</v>
      </c>
      <c r="H62" s="103" t="inlineStr">
        <is>
          <t>O</t>
        </is>
      </c>
      <c r="I62" s="98" t="inlineStr">
        <is>
          <t xml:space="preserve">　</t>
        </is>
      </c>
    </row>
    <row r="63">
      <c r="A63" s="196" t="n"/>
      <c r="B63" s="98" t="inlineStr">
        <is>
          <t>SAMAALE GENERALTRADI</t>
        </is>
      </c>
      <c r="C63" s="98" t="n"/>
      <c r="D63" s="103" t="n">
        <v>1410245</v>
      </c>
      <c r="E63" s="103" t="inlineStr">
        <is>
          <t>손동현</t>
        </is>
      </c>
      <c r="F63" s="99" t="n">
        <v>3979</v>
      </c>
      <c r="G63" s="98" t="inlineStr">
        <is>
          <t xml:space="preserve">　</t>
        </is>
      </c>
      <c r="H63" s="103" t="inlineStr">
        <is>
          <t>O</t>
        </is>
      </c>
      <c r="I63" s="98" t="inlineStr">
        <is>
          <t xml:space="preserve">　</t>
        </is>
      </c>
    </row>
    <row r="64">
      <c r="A64" s="196" t="n"/>
      <c r="B64" s="98" t="inlineStr">
        <is>
          <t>SICAS</t>
        </is>
      </c>
      <c r="C64" s="98" t="n"/>
      <c r="D64" s="103" t="n">
        <v>1406222</v>
      </c>
      <c r="E64" s="103" t="inlineStr">
        <is>
          <t>손동현</t>
        </is>
      </c>
      <c r="F64" s="99" t="n">
        <v>1384</v>
      </c>
      <c r="G64" s="98" t="inlineStr">
        <is>
          <t xml:space="preserve">　</t>
        </is>
      </c>
      <c r="H64" s="103" t="inlineStr">
        <is>
          <t>O</t>
        </is>
      </c>
      <c r="I64" s="98" t="inlineStr">
        <is>
          <t xml:space="preserve">　</t>
        </is>
      </c>
    </row>
    <row r="65">
      <c r="A65" s="196" t="n"/>
      <c r="B65" s="98" t="inlineStr">
        <is>
          <t>Superdoll Trailer Ma</t>
        </is>
      </c>
      <c r="C65" s="98" t="n"/>
      <c r="D65" s="103" t="n">
        <v>1410538</v>
      </c>
      <c r="E65" s="103" t="inlineStr">
        <is>
          <t>손동현</t>
        </is>
      </c>
      <c r="F65" s="98" t="inlineStr">
        <is>
          <t xml:space="preserve">　</t>
        </is>
      </c>
      <c r="G65" s="98" t="n">
        <v>159</v>
      </c>
      <c r="H65" s="103" t="inlineStr">
        <is>
          <t>O</t>
        </is>
      </c>
      <c r="I65" s="98" t="inlineStr">
        <is>
          <t xml:space="preserve">　</t>
        </is>
      </c>
    </row>
    <row r="66">
      <c r="A66" s="196" t="n"/>
      <c r="B66" s="98" t="inlineStr">
        <is>
          <t>Superdoll Trailer Manufacture</t>
        </is>
      </c>
      <c r="C66" s="98" t="n"/>
      <c r="D66" s="103" t="n">
        <v>1410538</v>
      </c>
      <c r="E66" s="103" t="inlineStr">
        <is>
          <t>손동현</t>
        </is>
      </c>
      <c r="F66" s="98" t="n">
        <v>50</v>
      </c>
      <c r="G66" s="98" t="inlineStr">
        <is>
          <t xml:space="preserve">　</t>
        </is>
      </c>
      <c r="H66" s="103" t="inlineStr">
        <is>
          <t>O</t>
        </is>
      </c>
      <c r="I66" s="98" t="inlineStr">
        <is>
          <t xml:space="preserve">　</t>
        </is>
      </c>
    </row>
    <row r="67">
      <c r="A67" s="196" t="n"/>
      <c r="B67" s="98" t="inlineStr">
        <is>
          <t>TYRE DOCTOR LTD</t>
        </is>
      </c>
      <c r="C67" s="98" t="n"/>
      <c r="D67" s="103" t="n">
        <v>1410353</v>
      </c>
      <c r="E67" s="103" t="inlineStr">
        <is>
          <t>손동현</t>
        </is>
      </c>
      <c r="F67" s="98" t="n">
        <v>363</v>
      </c>
      <c r="G67" s="98" t="n">
        <v>537</v>
      </c>
      <c r="H67" s="103" t="inlineStr">
        <is>
          <t>O</t>
        </is>
      </c>
      <c r="I67" s="98" t="inlineStr">
        <is>
          <t xml:space="preserve">　</t>
        </is>
      </c>
    </row>
    <row r="68">
      <c r="A68" s="196" t="n"/>
      <c r="B68" s="98" t="inlineStr">
        <is>
          <t>UNIVERSAL TIRES</t>
        </is>
      </c>
      <c r="C68" s="98" t="n"/>
      <c r="D68" s="103" t="n">
        <v>1410237</v>
      </c>
      <c r="E68" s="103" t="inlineStr">
        <is>
          <t>손동현</t>
        </is>
      </c>
      <c r="F68" s="99" t="n">
        <v>2239</v>
      </c>
      <c r="G68" s="99" t="n">
        <v>2186</v>
      </c>
      <c r="H68" s="103" t="inlineStr">
        <is>
          <t>O</t>
        </is>
      </c>
      <c r="I68" s="98" t="inlineStr">
        <is>
          <t xml:space="preserve">　</t>
        </is>
      </c>
    </row>
    <row r="69">
      <c r="A69" s="196" t="n"/>
      <c r="B69" s="98" t="inlineStr">
        <is>
          <t>ZIDAN KARAAN ENTERPR</t>
        </is>
      </c>
      <c r="C69" s="98" t="n"/>
      <c r="D69" s="103" t="n">
        <v>1409728</v>
      </c>
      <c r="E69" s="103" t="inlineStr">
        <is>
          <t>손동현</t>
        </is>
      </c>
      <c r="F69" s="99" t="n">
        <v>1134</v>
      </c>
      <c r="G69" s="98" t="inlineStr">
        <is>
          <t xml:space="preserve">　</t>
        </is>
      </c>
      <c r="H69" s="103" t="inlineStr">
        <is>
          <t>O</t>
        </is>
      </c>
      <c r="I69" s="98" t="inlineStr">
        <is>
          <t xml:space="preserve">　</t>
        </is>
      </c>
    </row>
    <row r="70">
      <c r="A70" s="196" t="n"/>
      <c r="B70" s="98" t="inlineStr">
        <is>
          <t>글로컬 주식회사</t>
        </is>
      </c>
      <c r="C70" s="98" t="n"/>
      <c r="D70" s="103" t="n">
        <v>1409974</v>
      </c>
      <c r="E70" s="103" t="inlineStr">
        <is>
          <t>손동현</t>
        </is>
      </c>
      <c r="F70" s="99" t="n">
        <v>1100</v>
      </c>
      <c r="G70" s="99" t="n">
        <v>1572</v>
      </c>
      <c r="H70" s="103" t="inlineStr">
        <is>
          <t>O</t>
        </is>
      </c>
      <c r="I70" s="98" t="inlineStr">
        <is>
          <t xml:space="preserve">　</t>
        </is>
      </c>
    </row>
    <row r="71">
      <c r="A71" s="196" t="n"/>
      <c r="B71" s="98" t="inlineStr">
        <is>
          <t>주성코리아</t>
        </is>
      </c>
      <c r="C71" s="98" t="n"/>
      <c r="D71" s="103" t="n">
        <v>1400986</v>
      </c>
      <c r="E71" s="103" t="inlineStr">
        <is>
          <t>손동현</t>
        </is>
      </c>
      <c r="F71" s="99" t="n">
        <v>3742</v>
      </c>
      <c r="G71" s="99" t="n">
        <v>1547</v>
      </c>
      <c r="H71" s="103" t="inlineStr">
        <is>
          <t>O</t>
        </is>
      </c>
      <c r="I71" s="98" t="inlineStr">
        <is>
          <t xml:space="preserve">　</t>
        </is>
      </c>
    </row>
    <row r="72" ht="84" customHeight="1">
      <c r="A72" s="196" t="n"/>
      <c r="B72" s="98" t="inlineStr">
        <is>
          <t>AL JIDAR CO.</t>
        </is>
      </c>
      <c r="C72" s="98" t="n"/>
      <c r="D72" s="103" t="n">
        <v>1406009</v>
      </c>
      <c r="E72" s="103" t="inlineStr">
        <is>
          <t>정연국</t>
        </is>
      </c>
      <c r="F72" s="99" t="n">
        <v>65573</v>
      </c>
      <c r="G72" s="99" t="n">
        <v>18002</v>
      </c>
      <c r="H72" s="103" t="inlineStr">
        <is>
          <t>X</t>
        </is>
      </c>
      <c r="I72" s="100" t="inlineStr">
        <is>
          <t>리비아 차량 현황
30% of vehicles are from 2003–2010
60% of vehicles are from 2011–2017
10% of vehicles are from 2018–2025
시장에 장기연식 차량 많아 여전히 SG6 적용이 필요한 상황</t>
        </is>
      </c>
    </row>
    <row r="73">
      <c r="A73" s="196" t="n"/>
      <c r="B73" s="98" t="inlineStr">
        <is>
          <t>AL MASAR AL JADEED</t>
        </is>
      </c>
      <c r="C73" s="98" t="n"/>
      <c r="D73" s="103" t="n">
        <v>1406010</v>
      </c>
      <c r="E73" s="103" t="inlineStr">
        <is>
          <t>정연국</t>
        </is>
      </c>
      <c r="F73" s="99" t="n">
        <v>71257</v>
      </c>
      <c r="G73" s="99" t="n">
        <v>17896</v>
      </c>
      <c r="H73" s="103" t="inlineStr">
        <is>
          <t>X</t>
        </is>
      </c>
      <c r="I73" s="98" t="inlineStr">
        <is>
          <t>상기 리비아 사유와 같음</t>
        </is>
      </c>
    </row>
    <row r="74">
      <c r="A74" s="196" t="n"/>
      <c r="B74" s="98" t="inlineStr">
        <is>
          <t>AL-JAZEERA CO.</t>
        </is>
      </c>
      <c r="C74" s="98" t="n"/>
      <c r="D74" s="103" t="n">
        <v>1406004</v>
      </c>
      <c r="E74" s="103" t="inlineStr">
        <is>
          <t>정연국</t>
        </is>
      </c>
      <c r="F74" s="99" t="n">
        <v>37981</v>
      </c>
      <c r="G74" s="99" t="n">
        <v>12724</v>
      </c>
      <c r="H74" s="103" t="inlineStr">
        <is>
          <t>X</t>
        </is>
      </c>
      <c r="I74" s="98" t="inlineStr">
        <is>
          <t>상기 리비아 사유와 같음</t>
        </is>
      </c>
    </row>
    <row r="75">
      <c r="A75" s="196" t="n"/>
      <c r="B75" s="98" t="inlineStr">
        <is>
          <t>ALTABADL COMPANY</t>
        </is>
      </c>
      <c r="C75" s="98" t="n"/>
      <c r="D75" s="103" t="n">
        <v>1406008</v>
      </c>
      <c r="E75" s="103" t="inlineStr">
        <is>
          <t>정연국</t>
        </is>
      </c>
      <c r="F75" s="99" t="n">
        <v>7846</v>
      </c>
      <c r="G75" s="98" t="inlineStr">
        <is>
          <t xml:space="preserve">　</t>
        </is>
      </c>
      <c r="H75" s="103" t="inlineStr">
        <is>
          <t>X</t>
        </is>
      </c>
      <c r="I75" s="98" t="inlineStr">
        <is>
          <t>상기 리비아 사유와 같음</t>
        </is>
      </c>
    </row>
    <row r="76">
      <c r="A76" s="196" t="n"/>
      <c r="B76" s="98" t="inlineStr">
        <is>
          <t>ITAR ALAMAN CO., LTD</t>
        </is>
      </c>
      <c r="C76" s="98" t="n"/>
      <c r="D76" s="103" t="n">
        <v>1410499</v>
      </c>
      <c r="E76" s="103" t="inlineStr">
        <is>
          <t>정연국</t>
        </is>
      </c>
      <c r="F76" s="99" t="n">
        <v>32359</v>
      </c>
      <c r="G76" s="99" t="n">
        <v>11803</v>
      </c>
      <c r="H76" s="103" t="inlineStr">
        <is>
          <t>X</t>
        </is>
      </c>
      <c r="I76" s="98" t="inlineStr">
        <is>
          <t>상기 리비아 사유와 같음</t>
        </is>
      </c>
    </row>
    <row r="77">
      <c r="A77" s="196" t="n"/>
      <c r="B77" s="98" t="inlineStr">
        <is>
          <t>LIBYA ALJADIDAH FOR</t>
        </is>
      </c>
      <c r="C77" s="98" t="n"/>
      <c r="D77" s="103" t="n">
        <v>1410039</v>
      </c>
      <c r="E77" s="103" t="inlineStr">
        <is>
          <t>정연국</t>
        </is>
      </c>
      <c r="F77" s="99" t="n">
        <v>7461</v>
      </c>
      <c r="G77" s="98" t="inlineStr">
        <is>
          <t xml:space="preserve">　</t>
        </is>
      </c>
      <c r="H77" s="103" t="inlineStr">
        <is>
          <t>X</t>
        </is>
      </c>
      <c r="I77" s="98" t="inlineStr">
        <is>
          <t>상기 리비아 사유와 같음</t>
        </is>
      </c>
    </row>
    <row r="78">
      <c r="A78" s="196" t="n"/>
      <c r="B78" s="98" t="inlineStr">
        <is>
          <t>SEUN INDUSTRIES AND</t>
        </is>
      </c>
      <c r="C78" s="98" t="n"/>
      <c r="D78" s="103" t="n">
        <v>1406521</v>
      </c>
      <c r="E78" s="103" t="inlineStr">
        <is>
          <t>정연국</t>
        </is>
      </c>
      <c r="F78" s="99" t="n">
        <v>3076</v>
      </c>
      <c r="G78" s="98" t="inlineStr">
        <is>
          <t xml:space="preserve">　</t>
        </is>
      </c>
      <c r="H78" s="103" t="inlineStr">
        <is>
          <t>X</t>
        </is>
      </c>
      <c r="I78" s="98" t="inlineStr">
        <is>
          <t>나이지리아 조건 고려시 시장의 40~50% 차량 SG6 저비중 필요</t>
        </is>
      </c>
    </row>
    <row r="79">
      <c r="A79" s="196" t="n"/>
      <c r="B79" s="98" t="inlineStr">
        <is>
          <t>SKYSAIL ENTERPRISE CO., LTD</t>
        </is>
      </c>
      <c r="C79" s="98" t="n"/>
      <c r="D79" s="103" t="n">
        <v>1410534</v>
      </c>
      <c r="E79" s="103" t="inlineStr">
        <is>
          <t>정연국</t>
        </is>
      </c>
      <c r="F79" s="99" t="n">
        <v>33994</v>
      </c>
      <c r="G79" s="98" t="inlineStr">
        <is>
          <t xml:space="preserve">　</t>
        </is>
      </c>
      <c r="H79" s="103" t="inlineStr">
        <is>
          <t>X</t>
        </is>
      </c>
      <c r="I79" s="98" t="inlineStr">
        <is>
          <t>나이지리아 조건 고려시 시장의 40~50% 차량 SG6 저비중 필요</t>
        </is>
      </c>
    </row>
    <row r="80">
      <c r="A80" s="196" t="n"/>
      <c r="B80" s="98" t="inlineStr">
        <is>
          <t>ABBOUD EST FOR AUTO</t>
        </is>
      </c>
      <c r="C80" s="98" t="n"/>
      <c r="D80" s="103" t="n">
        <v>1405051</v>
      </c>
      <c r="E80" s="103" t="inlineStr">
        <is>
          <t>최유빈</t>
        </is>
      </c>
      <c r="F80" s="99" t="n">
        <v>3230</v>
      </c>
      <c r="G80" s="98" t="n">
        <v>720</v>
      </c>
      <c r="H80" s="103" t="inlineStr">
        <is>
          <t>O</t>
        </is>
      </c>
      <c r="I80" s="98" t="inlineStr">
        <is>
          <t xml:space="preserve">　</t>
        </is>
      </c>
    </row>
    <row r="81">
      <c r="A81" s="196" t="n"/>
      <c r="B81" s="98" t="inlineStr">
        <is>
          <t>Al Futooh Internatio</t>
        </is>
      </c>
      <c r="C81" s="98" t="n"/>
      <c r="D81" s="103" t="n">
        <v>1405055</v>
      </c>
      <c r="E81" s="103" t="inlineStr">
        <is>
          <t>최유빈</t>
        </is>
      </c>
      <c r="F81" s="99" t="n">
        <v>27152</v>
      </c>
      <c r="G81" s="99" t="n">
        <v>5930</v>
      </c>
      <c r="H81" s="103" t="inlineStr">
        <is>
          <t>O</t>
        </is>
      </c>
      <c r="I81" s="98" t="inlineStr">
        <is>
          <t xml:space="preserve">　</t>
        </is>
      </c>
    </row>
    <row r="82">
      <c r="A82" s="196" t="n"/>
      <c r="B82" s="98" t="inlineStr">
        <is>
          <t>ARABIAN PARTS</t>
        </is>
      </c>
      <c r="C82" s="98" t="n"/>
      <c r="D82" s="103" t="n">
        <v>1405281</v>
      </c>
      <c r="E82" s="103" t="inlineStr">
        <is>
          <t>최유빈</t>
        </is>
      </c>
      <c r="F82" s="99" t="n">
        <v>2043</v>
      </c>
      <c r="G82" s="99" t="n">
        <v>1159</v>
      </c>
      <c r="H82" s="103" t="inlineStr">
        <is>
          <t>O</t>
        </is>
      </c>
      <c r="I82" s="98" t="inlineStr">
        <is>
          <t xml:space="preserve">　</t>
        </is>
      </c>
    </row>
    <row r="83">
      <c r="A83" s="196" t="n"/>
      <c r="B83" s="98" t="inlineStr">
        <is>
          <t>NICKEL GLASS &amp; BATTE</t>
        </is>
      </c>
      <c r="C83" s="98" t="n"/>
      <c r="D83" s="103" t="n">
        <v>1405053</v>
      </c>
      <c r="E83" s="103" t="inlineStr">
        <is>
          <t>최유빈</t>
        </is>
      </c>
      <c r="F83" s="98" t="inlineStr">
        <is>
          <t xml:space="preserve">　</t>
        </is>
      </c>
      <c r="G83" s="99" t="n">
        <v>1446</v>
      </c>
      <c r="H83" s="103" t="inlineStr">
        <is>
          <t>O</t>
        </is>
      </c>
      <c r="I83" s="98" t="inlineStr">
        <is>
          <t xml:space="preserve">　</t>
        </is>
      </c>
    </row>
    <row r="84">
      <c r="A84" s="197" t="n"/>
      <c r="B84" s="98" t="inlineStr">
        <is>
          <t>NASEEM</t>
        </is>
      </c>
      <c r="C84" s="98" t="n"/>
      <c r="D84" s="103" t="n">
        <v>1405112</v>
      </c>
      <c r="E84" s="103" t="inlineStr">
        <is>
          <t>한재민</t>
        </is>
      </c>
      <c r="F84" s="98" t="n">
        <v>240</v>
      </c>
      <c r="G84" s="98" t="inlineStr">
        <is>
          <t xml:space="preserve">　</t>
        </is>
      </c>
      <c r="H84" s="103" t="inlineStr">
        <is>
          <t>O</t>
        </is>
      </c>
      <c r="I84" s="98" t="inlineStr">
        <is>
          <t xml:space="preserve">　</t>
        </is>
      </c>
    </row>
    <row r="85">
      <c r="A85" s="144" t="inlineStr">
        <is>
          <t>총합계</t>
        </is>
      </c>
      <c r="B85" s="97" t="inlineStr">
        <is>
          <t xml:space="preserve">　</t>
        </is>
      </c>
      <c r="C85" s="97" t="n"/>
      <c r="D85" s="104" t="inlineStr">
        <is>
          <t xml:space="preserve">　</t>
        </is>
      </c>
      <c r="E85" s="104" t="inlineStr">
        <is>
          <t xml:space="preserve">　</t>
        </is>
      </c>
      <c r="F85" s="101" t="n">
        <v>1114163</v>
      </c>
      <c r="G85" s="101" t="n">
        <v>341876</v>
      </c>
      <c r="H85" s="104" t="inlineStr">
        <is>
          <t xml:space="preserve">　</t>
        </is>
      </c>
      <c r="I85" s="97" t="inlineStr">
        <is>
          <t xml:space="preserve">　</t>
        </is>
      </c>
    </row>
  </sheetData>
  <autoFilter ref="A3:I4">
    <filterColumn colId="5" hiddenButton="0" showButton="0"/>
  </autoFilter>
  <mergeCells count="11">
    <mergeCell ref="F3:G3"/>
    <mergeCell ref="A5:A13"/>
    <mergeCell ref="C3:C4"/>
    <mergeCell ref="B3:B4"/>
    <mergeCell ref="A3:A4"/>
    <mergeCell ref="E3:E4"/>
    <mergeCell ref="I3:I4"/>
    <mergeCell ref="H3:H4"/>
    <mergeCell ref="D3:D4"/>
    <mergeCell ref="A14:A44"/>
    <mergeCell ref="A45:A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2026-05-28T23:23:43Z</dcterms:created>
  <dcterms:modified xmlns:dcterms="http://purl.org/dc/terms/" xmlns:xsi="http://www.w3.org/2001/XMLSchema-instance" xsi:type="dcterms:W3CDTF">2026-07-27T03:22:24Z</dcterms:modified>
  <cp:lastModifiedBy>박지영/선임/세방전지</cp:lastModifiedBy>
</cp:coreProperties>
</file>