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8" activeTab="7" autoFilterDateGrouping="1"/>
  </bookViews>
  <sheets>
    <sheet name="GB 54459" sheetId="1" state="visible" r:id="rId1"/>
    <sheet name="GB 59042" sheetId="2" state="visible" r:id="rId2"/>
    <sheet name="GB 57220" sheetId="3" state="visible" r:id="rId3"/>
    <sheet name="GB 56219" sheetId="4" state="visible" r:id="rId4"/>
    <sheet name="GB 56219 (A)" sheetId="5" state="visible" r:id="rId5"/>
    <sheet name="GB 1000" sheetId="6" state="visible" r:id="rId6"/>
    <sheet name="GB 3000" sheetId="7" state="visible" r:id="rId7"/>
    <sheet name="GB L6" sheetId="8" state="visible" r:id="rId8"/>
    <sheet name="GB 45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세방고딕 Regular"/>
      <charset val="129"/>
      <family val="3"/>
      <color theme="1"/>
      <sz val="11"/>
    </font>
    <font>
      <name val="세방고딕 Regular"/>
      <charset val="129"/>
      <family val="3"/>
      <b val="1"/>
      <color rgb="FF000000"/>
      <sz val="11"/>
    </font>
    <font>
      <name val="세방고딕 Regular"/>
      <charset val="129"/>
      <family val="3"/>
      <color rgb="FF00000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세방고딕 Regular"/>
      <charset val="129"/>
      <family val="3"/>
      <color rgb="FFFF0000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7999816888943144"/>
        <bgColor rgb="FF000000"/>
      </patternFill>
    </fill>
    <fill>
      <patternFill patternType="solid">
        <fgColor theme="0" tint="-0.249946592608417"/>
        <bgColor rgb="FFBFBFBF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00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164" fontId="5" fillId="2" borderId="1" applyAlignment="1" pivotButton="0" quotePrefix="1" xfId="0">
      <alignment horizontal="center" vertical="center" wrapText="1"/>
    </xf>
    <xf numFmtId="0" fontId="5" fillId="2" borderId="1" applyAlignment="1" pivotButton="0" quotePrefix="1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2" fontId="3" fillId="0" borderId="0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7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5" fillId="2" borderId="1" applyAlignment="1" pivotButton="0" quotePrefix="1" xfId="0">
      <alignment horizontal="center" vertical="center" wrapText="1"/>
    </xf>
    <xf numFmtId="2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</cellXfs>
  <cellStyles count="2">
    <cellStyle name="표준" xfId="0" builtinId="0"/>
    <cellStyle name="백분율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user</author>
  </authors>
  <commentList>
    <comment ref="F16" authorId="0" shapeId="0">
      <text>
        <t>user:
14시간 56분 19초 안정화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D28" authorId="0" shapeId="0">
      <text>
        <t>user:
10시간 33분 46초 안정화</t>
      </text>
    </comment>
    <comment ref="E28" authorId="0" shapeId="0">
      <text>
        <t>user:
10시간 00분 16초 안정화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D28" authorId="0" shapeId="0">
      <text>
        <t>user:
10시간 11분 19초 안정화</t>
      </text>
    </comment>
    <comment ref="E28" authorId="0" shapeId="0">
      <text>
        <t>user:
10시간 13분 17초 안정화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D28" authorId="0" shapeId="0">
      <text>
        <t>user:
16시간 30분 안정화</t>
      </text>
    </comment>
    <comment ref="F28" authorId="0" shapeId="0">
      <text>
        <t>user:
15시간 50분 안정화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G29" sqref="G29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54459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45Ah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12079</v>
      </c>
      <c r="E6" s="3" t="n">
        <v>12049</v>
      </c>
      <c r="F6" s="3" t="n">
        <v>12026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12.89</v>
      </c>
      <c r="E7" s="3" t="n">
        <v>12.91</v>
      </c>
      <c r="F7" s="3" t="n">
        <v>12.9</v>
      </c>
    </row>
    <row r="8" ht="17.25" customHeight="1" s="25">
      <c r="B8" s="14" t="inlineStr">
        <is>
          <t>내부저항</t>
        </is>
      </c>
      <c r="C8" s="27" t="n"/>
      <c r="D8" s="3" t="n">
        <v>6.03</v>
      </c>
      <c r="E8" s="3" t="n">
        <v>5.99</v>
      </c>
      <c r="F8" s="3" t="n">
        <v>6</v>
      </c>
    </row>
    <row r="9" ht="17.25" customHeight="1" s="25">
      <c r="B9" s="14" t="inlineStr">
        <is>
          <t>MCCA</t>
        </is>
      </c>
      <c r="C9" s="27" t="n"/>
      <c r="D9" s="3" t="n">
        <v>495</v>
      </c>
      <c r="E9" s="3" t="n">
        <v>498</v>
      </c>
      <c r="F9" s="3" t="n">
        <v>498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3-19</t>
        </is>
      </c>
      <c r="E10" s="11" t="inlineStr">
        <is>
          <t>1-24</t>
        </is>
      </c>
      <c r="F10" s="11" t="inlineStr">
        <is>
          <t>2-5</t>
        </is>
      </c>
    </row>
    <row r="11" ht="15.75" customHeight="1" s="25">
      <c r="B11" s="14" t="inlineStr">
        <is>
          <t>시험 시작일</t>
        </is>
      </c>
      <c r="C11" s="27" t="n"/>
      <c r="D11" s="28" t="n">
        <v>45919</v>
      </c>
      <c r="E11" s="28" t="n">
        <v>45919</v>
      </c>
      <c r="F11" s="28" t="n">
        <v>45919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 ht="15.75" customHeight="1" s="25">
      <c r="B14" s="16" t="inlineStr">
        <is>
          <t>만충전
(24h)</t>
        </is>
      </c>
      <c r="C14" s="3" t="inlineStr">
        <is>
          <t>충전 전류</t>
        </is>
      </c>
      <c r="D14" s="6" t="n">
        <v>0.802</v>
      </c>
      <c r="E14" s="6" t="n">
        <v>0.731</v>
      </c>
      <c r="F14" s="6" t="n">
        <v>0.6929999999999999</v>
      </c>
    </row>
    <row r="15">
      <c r="B15" s="29" t="n"/>
      <c r="C15" s="3" t="inlineStr">
        <is>
          <t>충전 용량</t>
        </is>
      </c>
      <c r="D15" s="6" t="n">
        <v>23.526</v>
      </c>
      <c r="E15" s="6" t="n">
        <v>21.474</v>
      </c>
      <c r="F15" s="6" t="n">
        <v>20.619</v>
      </c>
    </row>
    <row r="16">
      <c r="B16" s="30" t="n"/>
      <c r="C16" s="3" t="inlineStr">
        <is>
          <t>안정화 전압(72h)</t>
        </is>
      </c>
      <c r="D16" s="6" t="n">
        <v>12.86</v>
      </c>
      <c r="E16" s="6" t="n">
        <v>12.861</v>
      </c>
      <c r="F16" s="6" t="n">
        <v>12.877</v>
      </c>
    </row>
    <row r="17">
      <c r="B17" s="16" t="inlineStr">
        <is>
          <t>C20</t>
        </is>
      </c>
      <c r="C17" s="4" t="n">
        <v>1</v>
      </c>
      <c r="D17" s="6" t="n">
        <v>12.86</v>
      </c>
      <c r="E17" s="6" t="n">
        <v>12.861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12.827</v>
      </c>
      <c r="E18" s="6" t="n">
        <v>12.83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12.727</v>
      </c>
      <c r="E19" s="7" t="n">
        <v>12.734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12.625</v>
      </c>
      <c r="E20" s="6" t="n">
        <v>12.633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12.519</v>
      </c>
      <c r="E21" s="6" t="n">
        <v>12.532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12.306</v>
      </c>
      <c r="E22" s="6" t="n">
        <v>12.327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12.086</v>
      </c>
      <c r="E23" s="7" t="n">
        <v>12.116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11.848</v>
      </c>
      <c r="E24" s="7" t="n">
        <v>11.892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9" t="n">
        <v>50.089</v>
      </c>
      <c r="E25" s="9" t="n">
        <v>49.159</v>
      </c>
      <c r="F25" s="5" t="inlineStr">
        <is>
          <t>-</t>
        </is>
      </c>
      <c r="G25" s="13">
        <f>AVERAGE(D25:E25)</f>
        <v/>
      </c>
    </row>
    <row r="26" ht="15.75" customHeight="1" s="25">
      <c r="B26" s="16" t="inlineStr">
        <is>
          <t>만충전
(24h)</t>
        </is>
      </c>
      <c r="C26" s="3" t="inlineStr">
        <is>
          <t>충전 전류</t>
        </is>
      </c>
      <c r="D26" s="9" t="n">
        <v>0.792</v>
      </c>
      <c r="E26" s="9" t="n">
        <v>0.771</v>
      </c>
      <c r="F26" s="9" t="inlineStr">
        <is>
          <t>-</t>
        </is>
      </c>
    </row>
    <row r="27">
      <c r="B27" s="29" t="n"/>
      <c r="C27" s="3" t="inlineStr">
        <is>
          <t>충전 용량</t>
        </is>
      </c>
      <c r="D27" s="9" t="n">
        <v>73.816</v>
      </c>
      <c r="E27" s="9" t="n">
        <v>70.97199999999999</v>
      </c>
      <c r="F27" s="9" t="inlineStr">
        <is>
          <t>-</t>
        </is>
      </c>
    </row>
    <row r="28">
      <c r="B28" s="30" t="n"/>
      <c r="C28" s="3" t="inlineStr">
        <is>
          <t>안정화 전압(24h)</t>
        </is>
      </c>
      <c r="D28" s="9" t="n">
        <v>13.176</v>
      </c>
      <c r="E28" s="9" t="n">
        <v>13.18</v>
      </c>
      <c r="F28" s="9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G25" sqref="G25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59042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80Ah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19175</v>
      </c>
      <c r="E6" s="3" t="n">
        <v>19208</v>
      </c>
      <c r="F6" s="3" t="n">
        <v>19158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6" t="n">
        <v>12.911</v>
      </c>
      <c r="E7" s="6" t="n">
        <v>12.869</v>
      </c>
      <c r="F7" s="6" t="n">
        <v>12.815</v>
      </c>
    </row>
    <row r="8" ht="17.25" customHeight="1" s="25">
      <c r="B8" s="14" t="inlineStr">
        <is>
          <t>내부저항</t>
        </is>
      </c>
      <c r="C8" s="27" t="n"/>
      <c r="D8" s="12" t="n"/>
      <c r="E8" s="12" t="n"/>
      <c r="F8" s="12" t="n"/>
    </row>
    <row r="9" ht="17.25" customHeight="1" s="25">
      <c r="B9" s="14" t="inlineStr">
        <is>
          <t>MCCA</t>
        </is>
      </c>
      <c r="C9" s="27" t="n"/>
      <c r="D9" s="12" t="n"/>
      <c r="E9" s="12" t="n"/>
      <c r="F9" s="12" t="n"/>
    </row>
    <row r="10" ht="17.25" customHeight="1" s="25">
      <c r="B10" s="14" t="inlineStr">
        <is>
          <t>PC 번호</t>
        </is>
      </c>
      <c r="C10" s="27" t="n"/>
      <c r="D10" s="11" t="inlineStr">
        <is>
          <t>1-20</t>
        </is>
      </c>
      <c r="E10" s="11" t="inlineStr">
        <is>
          <t>1-19</t>
        </is>
      </c>
      <c r="F10" s="11" t="inlineStr">
        <is>
          <t>1-24</t>
        </is>
      </c>
    </row>
    <row r="11">
      <c r="B11" s="14" t="inlineStr">
        <is>
          <t>시험 시작일</t>
        </is>
      </c>
      <c r="C11" s="27" t="n"/>
      <c r="D11" s="28" t="n">
        <v>45930</v>
      </c>
      <c r="E11" s="28" t="n">
        <v>45930</v>
      </c>
      <c r="F11" s="28" t="n">
        <v>45930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1.097</v>
      </c>
      <c r="E14" s="6" t="n">
        <v>1.173</v>
      </c>
      <c r="F14" s="6" t="n">
        <v>1.072</v>
      </c>
    </row>
    <row r="15">
      <c r="B15" s="29" t="n"/>
      <c r="C15" s="3" t="inlineStr">
        <is>
          <t>충전 용량</t>
        </is>
      </c>
      <c r="D15" s="6" t="n">
        <v>34.502</v>
      </c>
      <c r="E15" s="6" t="n">
        <v>36.458</v>
      </c>
      <c r="F15" s="6" t="n">
        <v>35.202</v>
      </c>
    </row>
    <row r="16">
      <c r="B16" s="30" t="n"/>
      <c r="C16" s="3" t="inlineStr">
        <is>
          <t>안정화 전압(72h)</t>
        </is>
      </c>
      <c r="D16" s="6" t="n">
        <v>12.853</v>
      </c>
      <c r="E16" s="6" t="n">
        <v>12.836</v>
      </c>
      <c r="F16" s="6" t="n">
        <v>12.859</v>
      </c>
    </row>
    <row r="17">
      <c r="B17" s="16" t="inlineStr">
        <is>
          <t>C20</t>
        </is>
      </c>
      <c r="C17" s="4" t="n">
        <v>1</v>
      </c>
      <c r="D17" s="6" t="n">
        <v>12.853</v>
      </c>
      <c r="E17" s="6" t="n">
        <v>12.836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12.81</v>
      </c>
      <c r="E18" s="6" t="n">
        <v>12.79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12.703</v>
      </c>
      <c r="E19" s="7" t="n">
        <v>12.682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12.596</v>
      </c>
      <c r="E20" s="6" t="n">
        <v>12.575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12.489</v>
      </c>
      <c r="E21" s="6" t="n">
        <v>12.466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12.27</v>
      </c>
      <c r="E22" s="6" t="n">
        <v>12.245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12.043</v>
      </c>
      <c r="E23" s="7" t="n">
        <v>12.016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11.791</v>
      </c>
      <c r="E24" s="7" t="n">
        <v>11.759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83.76900000000001</v>
      </c>
      <c r="E25" s="5" t="n">
        <v>83.73399999999999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>
        <v>1.237</v>
      </c>
      <c r="E26" s="6" t="n">
        <v>1.293</v>
      </c>
      <c r="F26" s="6" t="inlineStr">
        <is>
          <t>-</t>
        </is>
      </c>
    </row>
    <row r="27">
      <c r="B27" s="29" t="n"/>
      <c r="C27" s="3" t="inlineStr">
        <is>
          <t>충전 용량</t>
        </is>
      </c>
      <c r="D27" s="6" t="n">
        <v>119.943</v>
      </c>
      <c r="E27" s="6" t="n">
        <v>121.631</v>
      </c>
      <c r="F27" s="6" t="inlineStr">
        <is>
          <t>-</t>
        </is>
      </c>
    </row>
    <row r="28">
      <c r="B28" s="30" t="n"/>
      <c r="C28" s="3" t="inlineStr">
        <is>
          <t>안정화 전압(24h)</t>
        </is>
      </c>
      <c r="D28" s="6" t="n">
        <v>13.119</v>
      </c>
      <c r="E28" s="6" t="n">
        <v>13.115</v>
      </c>
      <c r="F28" s="6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G25" sqref="G25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57220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68Ah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16659</v>
      </c>
      <c r="E6" s="3" t="n">
        <v>16620</v>
      </c>
      <c r="F6" s="3" t="n">
        <v>16684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12.92</v>
      </c>
      <c r="E7" s="3" t="n">
        <v>12.92</v>
      </c>
      <c r="F7" s="3" t="n">
        <v>12.92</v>
      </c>
    </row>
    <row r="8" ht="17.25" customHeight="1" s="25">
      <c r="B8" s="14" t="inlineStr">
        <is>
          <t>내부저항</t>
        </is>
      </c>
      <c r="C8" s="27" t="n"/>
      <c r="D8" s="3" t="n">
        <v>4.63</v>
      </c>
      <c r="E8" s="3" t="n">
        <v>4.56</v>
      </c>
      <c r="F8" s="3" t="n">
        <v>4.55</v>
      </c>
    </row>
    <row r="9" ht="17.25" customHeight="1" s="25">
      <c r="B9" s="14" t="inlineStr">
        <is>
          <t>MCCA</t>
        </is>
      </c>
      <c r="C9" s="27" t="n"/>
      <c r="D9" s="3" t="n">
        <v>661</v>
      </c>
      <c r="E9" s="3" t="n">
        <v>673</v>
      </c>
      <c r="F9" s="3" t="n">
        <v>669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3-30</t>
        </is>
      </c>
      <c r="E10" s="11" t="inlineStr">
        <is>
          <t>3-24</t>
        </is>
      </c>
      <c r="F10" s="11" t="inlineStr">
        <is>
          <t>3-15</t>
        </is>
      </c>
    </row>
    <row r="11">
      <c r="B11" s="14" t="inlineStr">
        <is>
          <t>시험 시작일</t>
        </is>
      </c>
      <c r="C11" s="27" t="n"/>
      <c r="D11" s="28" t="n">
        <v>45946</v>
      </c>
      <c r="E11" s="28" t="n">
        <v>45946</v>
      </c>
      <c r="F11" s="28" t="n">
        <v>45946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0.875</v>
      </c>
      <c r="E14" s="6" t="n">
        <v>0.741</v>
      </c>
      <c r="F14" s="6" t="n">
        <v>0.792</v>
      </c>
    </row>
    <row r="15">
      <c r="B15" s="29" t="n"/>
      <c r="C15" s="3" t="inlineStr">
        <is>
          <t>충전 용량</t>
        </is>
      </c>
      <c r="D15" s="6" t="n">
        <v>25.628</v>
      </c>
      <c r="E15" s="6" t="n">
        <v>22.213</v>
      </c>
      <c r="F15" s="6" t="n">
        <v>23.631</v>
      </c>
    </row>
    <row r="16">
      <c r="B16" s="30" t="n"/>
      <c r="C16" s="3" t="inlineStr">
        <is>
          <t>안정화 전압(72h)</t>
        </is>
      </c>
      <c r="D16" s="6" t="n">
        <v>12.906</v>
      </c>
      <c r="E16" s="6" t="n">
        <v>12.909</v>
      </c>
      <c r="F16" s="6" t="n">
        <v>12.907</v>
      </c>
    </row>
    <row r="17">
      <c r="B17" s="16" t="inlineStr">
        <is>
          <t>C20</t>
        </is>
      </c>
      <c r="C17" s="4" t="n">
        <v>1</v>
      </c>
      <c r="D17" s="6" t="n">
        <v>12.906</v>
      </c>
      <c r="E17" s="6" t="n">
        <v>12.909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12.865</v>
      </c>
      <c r="E18" s="6" t="n">
        <v>12.866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12.759</v>
      </c>
      <c r="E19" s="7" t="n">
        <v>12.762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12.651</v>
      </c>
      <c r="E20" s="6" t="n">
        <v>12.655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12.541</v>
      </c>
      <c r="E21" s="6" t="n">
        <v>12.547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12.317</v>
      </c>
      <c r="E22" s="6" t="n">
        <v>12.326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12.086</v>
      </c>
      <c r="E23" s="7" t="n">
        <v>12.098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11.834</v>
      </c>
      <c r="E24" s="7" t="n">
        <v>11.852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70.521</v>
      </c>
      <c r="E25" s="5" t="n">
        <v>70.931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>
        <v>0.976</v>
      </c>
      <c r="E26" s="6" t="n">
        <v>0.921</v>
      </c>
      <c r="F26" s="6" t="inlineStr">
        <is>
          <t>-</t>
        </is>
      </c>
    </row>
    <row r="27">
      <c r="B27" s="29" t="n"/>
      <c r="C27" s="3" t="inlineStr">
        <is>
          <t>충전 용량</t>
        </is>
      </c>
      <c r="D27" s="6" t="n">
        <v>99.497</v>
      </c>
      <c r="E27" s="6" t="n">
        <v>98.624</v>
      </c>
      <c r="F27" s="6" t="inlineStr">
        <is>
          <t>-</t>
        </is>
      </c>
    </row>
    <row r="28">
      <c r="B28" s="30" t="n"/>
      <c r="C28" s="3" t="inlineStr">
        <is>
          <t>안정화 전압(24h)</t>
        </is>
      </c>
      <c r="D28" s="6" t="n">
        <v>13.354</v>
      </c>
      <c r="E28" s="6" t="n">
        <v>13.288</v>
      </c>
      <c r="F28" s="6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G25" sqref="G25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56219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60Ah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15021</v>
      </c>
      <c r="E6" s="3" t="n">
        <v>15039</v>
      </c>
      <c r="F6" s="3" t="n">
        <v>15018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12.87</v>
      </c>
      <c r="E7" s="3" t="n">
        <v>12.87</v>
      </c>
      <c r="F7" s="3" t="n">
        <v>12.87</v>
      </c>
    </row>
    <row r="8" ht="17.25" customHeight="1" s="25">
      <c r="B8" s="14" t="inlineStr">
        <is>
          <t>내부저항</t>
        </is>
      </c>
      <c r="C8" s="27" t="n"/>
      <c r="D8" s="3" t="n">
        <v>4.84</v>
      </c>
      <c r="E8" s="3" t="n">
        <v>4.88</v>
      </c>
      <c r="F8" s="3" t="n">
        <v>4.87</v>
      </c>
    </row>
    <row r="9" ht="17.25" customHeight="1" s="25">
      <c r="B9" s="14" t="inlineStr">
        <is>
          <t>MCCA</t>
        </is>
      </c>
      <c r="C9" s="27" t="n"/>
      <c r="D9" s="3" t="n">
        <v>626</v>
      </c>
      <c r="E9" s="3" t="n">
        <v>622</v>
      </c>
      <c r="F9" s="3" t="n">
        <v>624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1-29</t>
        </is>
      </c>
      <c r="E10" s="11" t="inlineStr">
        <is>
          <t>2-22</t>
        </is>
      </c>
      <c r="F10" s="11" t="inlineStr">
        <is>
          <t>3-29</t>
        </is>
      </c>
    </row>
    <row r="11">
      <c r="B11" s="14" t="inlineStr">
        <is>
          <t>시험 시작일</t>
        </is>
      </c>
      <c r="C11" s="27" t="n"/>
      <c r="D11" s="28" t="n">
        <v>45960</v>
      </c>
      <c r="E11" s="28" t="n">
        <v>45960</v>
      </c>
      <c r="F11" s="28" t="n">
        <v>45960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1.057</v>
      </c>
      <c r="E14" s="6" t="n">
        <v>0.946</v>
      </c>
      <c r="F14" s="6" t="n">
        <v>1.043</v>
      </c>
    </row>
    <row r="15">
      <c r="B15" s="29" t="n"/>
      <c r="C15" s="3" t="inlineStr">
        <is>
          <t>충전 용량</t>
        </is>
      </c>
      <c r="D15" s="6" t="n">
        <v>33.807</v>
      </c>
      <c r="E15" s="6" t="n">
        <v>31.644</v>
      </c>
      <c r="F15" s="6" t="n">
        <v>33.918</v>
      </c>
    </row>
    <row r="16">
      <c r="B16" s="30" t="n"/>
      <c r="C16" s="3" t="inlineStr">
        <is>
          <t>안정화 전압(72h)</t>
        </is>
      </c>
      <c r="D16" s="6" t="n">
        <v>12.915</v>
      </c>
      <c r="E16" s="6" t="n">
        <v>12.932</v>
      </c>
      <c r="F16" s="6" t="n">
        <v>12.938</v>
      </c>
    </row>
    <row r="17">
      <c r="B17" s="16" t="inlineStr">
        <is>
          <t>C20</t>
        </is>
      </c>
      <c r="C17" s="4" t="n">
        <v>1</v>
      </c>
      <c r="D17" s="6" t="n">
        <v>12.915</v>
      </c>
      <c r="E17" s="6" t="n">
        <v>12.932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12.868</v>
      </c>
      <c r="E18" s="6" t="n">
        <v>12.884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12.756</v>
      </c>
      <c r="E19" s="7" t="n">
        <v>12.771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12.639</v>
      </c>
      <c r="E20" s="6" t="n">
        <v>12.655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12.519</v>
      </c>
      <c r="E21" s="6" t="n">
        <v>12.538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12.273</v>
      </c>
      <c r="E22" s="6" t="n">
        <v>12.294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12.012</v>
      </c>
      <c r="E23" s="7" t="n">
        <v>12.036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11.718</v>
      </c>
      <c r="E24" s="7" t="n">
        <v>11.749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63.574</v>
      </c>
      <c r="E25" s="5" t="n">
        <v>65.58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>
        <v>1.077</v>
      </c>
      <c r="E26" s="6" t="n">
        <v>0.873</v>
      </c>
      <c r="F26" s="6" t="inlineStr">
        <is>
          <t>-</t>
        </is>
      </c>
    </row>
    <row r="27">
      <c r="B27" s="29" t="n"/>
      <c r="C27" s="3" t="inlineStr">
        <is>
          <t>충전 용량</t>
        </is>
      </c>
      <c r="D27" s="6" t="n">
        <v>94.589</v>
      </c>
      <c r="E27" s="6" t="n">
        <v>95.095</v>
      </c>
      <c r="F27" s="6" t="inlineStr">
        <is>
          <t>-</t>
        </is>
      </c>
    </row>
    <row r="28">
      <c r="B28" s="30" t="n"/>
      <c r="C28" s="3" t="inlineStr">
        <is>
          <t>안정화 전압(24h)</t>
        </is>
      </c>
      <c r="D28" s="6" t="n">
        <v>13.324</v>
      </c>
      <c r="E28" s="6" t="n">
        <v>13.365</v>
      </c>
      <c r="F28" s="6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G25" sqref="G25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5"/>
    <col width="15" bestFit="1" customWidth="1" style="1" min="6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56219 (A)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60Ah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15006</v>
      </c>
      <c r="E6" s="3" t="n">
        <v>14905</v>
      </c>
      <c r="F6" s="3" t="n">
        <v>14896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12.9</v>
      </c>
      <c r="E7" s="3" t="n">
        <v>12.9</v>
      </c>
      <c r="F7" s="3" t="n">
        <v>12.91</v>
      </c>
    </row>
    <row r="8" ht="17.25" customHeight="1" s="25">
      <c r="B8" s="14" t="inlineStr">
        <is>
          <t>내부저항</t>
        </is>
      </c>
      <c r="C8" s="27" t="n"/>
      <c r="D8" s="3" t="n">
        <v>5.19</v>
      </c>
      <c r="E8" s="3" t="n">
        <v>5.28</v>
      </c>
      <c r="F8" s="3" t="n">
        <v>5.16</v>
      </c>
    </row>
    <row r="9" ht="17.25" customHeight="1" s="25">
      <c r="B9" s="14" t="inlineStr">
        <is>
          <t>MCCA</t>
        </is>
      </c>
      <c r="C9" s="27" t="n"/>
      <c r="D9" s="3" t="n">
        <v>575</v>
      </c>
      <c r="E9" s="3" t="n">
        <v>564</v>
      </c>
      <c r="F9" s="3" t="n">
        <v>579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3-12</t>
        </is>
      </c>
      <c r="E10" s="11" t="inlineStr">
        <is>
          <t>3-30</t>
        </is>
      </c>
      <c r="F10" s="11" t="inlineStr">
        <is>
          <t>3-24</t>
        </is>
      </c>
    </row>
    <row r="11">
      <c r="B11" s="14" t="inlineStr">
        <is>
          <t>시험 시작일</t>
        </is>
      </c>
      <c r="C11" s="27" t="n"/>
      <c r="D11" s="28" t="n">
        <v>45960</v>
      </c>
      <c r="E11" s="28" t="n">
        <v>45960</v>
      </c>
      <c r="F11" s="28" t="n">
        <v>45960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
전기차 실차시험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7" t="n">
        <v>1.022</v>
      </c>
      <c r="E14" s="7" t="n">
        <v>1.012</v>
      </c>
      <c r="F14" s="7" t="n">
        <v>0.999</v>
      </c>
    </row>
    <row r="15">
      <c r="B15" s="29" t="n"/>
      <c r="C15" s="3" t="inlineStr">
        <is>
          <t>충전 용량</t>
        </is>
      </c>
      <c r="D15" s="7" t="n">
        <v>33.729</v>
      </c>
      <c r="E15" s="7" t="n">
        <v>32.874</v>
      </c>
      <c r="F15" s="7" t="n">
        <v>32.927</v>
      </c>
    </row>
    <row r="16">
      <c r="B16" s="30" t="n"/>
      <c r="C16" s="3" t="inlineStr">
        <is>
          <t>안정화 전압(72h)</t>
        </is>
      </c>
      <c r="D16" s="7" t="n">
        <v>12.924</v>
      </c>
      <c r="E16" s="7" t="n">
        <v>12.919</v>
      </c>
      <c r="F16" s="7" t="n">
        <v>12.928</v>
      </c>
    </row>
    <row r="17">
      <c r="B17" s="16" t="inlineStr">
        <is>
          <t>C20</t>
        </is>
      </c>
      <c r="C17" s="4" t="n">
        <v>1</v>
      </c>
      <c r="D17" s="6" t="n">
        <v>12.924</v>
      </c>
      <c r="E17" s="6" t="n">
        <v>12.919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12.884</v>
      </c>
      <c r="E18" s="6" t="n">
        <v>12.879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12.775</v>
      </c>
      <c r="E19" s="7" t="n">
        <v>12.769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12.663</v>
      </c>
      <c r="E20" s="6" t="n">
        <v>12.658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12.55</v>
      </c>
      <c r="E21" s="6" t="n">
        <v>12.545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12.321</v>
      </c>
      <c r="E22" s="6" t="n">
        <v>12.314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12.083</v>
      </c>
      <c r="E23" s="7" t="n">
        <v>12.076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11.826</v>
      </c>
      <c r="E24" s="7" t="n">
        <v>11.817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64.295</v>
      </c>
      <c r="E25" s="5" t="n">
        <v>64.19799999999999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7" t="n">
        <v>0.866</v>
      </c>
      <c r="E26" s="7" t="n">
        <v>0.823</v>
      </c>
      <c r="F26" s="7" t="inlineStr">
        <is>
          <t>-</t>
        </is>
      </c>
    </row>
    <row r="27">
      <c r="B27" s="29" t="n"/>
      <c r="C27" s="3" t="inlineStr">
        <is>
          <t>충전 용량</t>
        </is>
      </c>
      <c r="D27" s="7" t="n">
        <v>91.247</v>
      </c>
      <c r="E27" s="7" t="n">
        <v>90.27500000000001</v>
      </c>
      <c r="F27" s="7" t="inlineStr">
        <is>
          <t>-</t>
        </is>
      </c>
    </row>
    <row r="28">
      <c r="B28" s="30" t="n"/>
      <c r="C28" s="3" t="inlineStr">
        <is>
          <t>안정화 전압(24h)</t>
        </is>
      </c>
      <c r="D28" s="7" t="n">
        <v>13.277</v>
      </c>
      <c r="E28" s="7" t="n">
        <v>13.257</v>
      </c>
      <c r="F28" s="7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8"/>
  <sheetViews>
    <sheetView topLeftCell="A13" workbookViewId="0">
      <selection activeCell="N21" sqref="N21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1000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100Ah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23253</v>
      </c>
      <c r="E6" s="3" t="n">
        <v>23167</v>
      </c>
      <c r="F6" s="3" t="n">
        <v>23159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12.93</v>
      </c>
      <c r="E7" s="3" t="n">
        <v>12.92</v>
      </c>
      <c r="F7" s="3" t="n">
        <v>12.93</v>
      </c>
    </row>
    <row r="8" ht="17.25" customHeight="1" s="25">
      <c r="B8" s="14" t="inlineStr">
        <is>
          <t>내부저항</t>
        </is>
      </c>
      <c r="C8" s="27" t="n"/>
      <c r="D8" s="3" t="n">
        <v>3.65</v>
      </c>
      <c r="E8" s="3" t="n">
        <v>3.7</v>
      </c>
      <c r="F8" s="3" t="n">
        <v>3.6</v>
      </c>
    </row>
    <row r="9" ht="17.25" customHeight="1" s="25">
      <c r="B9" s="14" t="inlineStr">
        <is>
          <t>MCCA</t>
        </is>
      </c>
      <c r="C9" s="27" t="n"/>
      <c r="D9" s="3" t="n">
        <v>856</v>
      </c>
      <c r="E9" s="3" t="n">
        <v>829</v>
      </c>
      <c r="F9" s="3" t="n">
        <v>864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3-24</t>
        </is>
      </c>
      <c r="E10" s="11" t="inlineStr">
        <is>
          <t>1-29</t>
        </is>
      </c>
      <c r="F10" s="11" t="inlineStr">
        <is>
          <t>2-22</t>
        </is>
      </c>
    </row>
    <row r="11">
      <c r="B11" s="14" t="inlineStr">
        <is>
          <t>시험 시작일</t>
        </is>
      </c>
      <c r="C11" s="27" t="n"/>
      <c r="D11" s="28" t="n">
        <v>45968</v>
      </c>
      <c r="E11" s="28" t="n">
        <v>45968</v>
      </c>
      <c r="F11" s="28" t="n">
        <v>45968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7" t="n">
        <v>1.6</v>
      </c>
      <c r="E14" s="7" t="n">
        <v>1.7</v>
      </c>
      <c r="F14" s="7" t="n">
        <v>1.598</v>
      </c>
    </row>
    <row r="15">
      <c r="B15" s="29" t="n"/>
      <c r="C15" s="3" t="inlineStr">
        <is>
          <t>충전 용량</t>
        </is>
      </c>
      <c r="D15" s="7" t="n">
        <v>47.296</v>
      </c>
      <c r="E15" s="7" t="n">
        <v>51.334</v>
      </c>
      <c r="F15" s="7" t="n">
        <v>47.172</v>
      </c>
    </row>
    <row r="16">
      <c r="B16" s="30" t="n"/>
      <c r="C16" s="3" t="inlineStr">
        <is>
          <t>안정화 전압(72h)</t>
        </is>
      </c>
      <c r="D16" s="7" t="n">
        <v>12.923</v>
      </c>
      <c r="E16" s="7" t="n">
        <v>12.912</v>
      </c>
      <c r="F16" s="7" t="n">
        <v>12.927</v>
      </c>
    </row>
    <row r="17">
      <c r="B17" s="16" t="inlineStr">
        <is>
          <t>C20</t>
        </is>
      </c>
      <c r="C17" s="4" t="n">
        <v>1</v>
      </c>
      <c r="D17" s="6" t="n">
        <v>12.923</v>
      </c>
      <c r="E17" s="6" t="n">
        <v>12.912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12.874</v>
      </c>
      <c r="E18" s="6" t="n">
        <v>12.863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12.756</v>
      </c>
      <c r="E19" s="7" t="n">
        <v>12.744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12.635</v>
      </c>
      <c r="E20" s="6" t="n">
        <v>12.621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12.511</v>
      </c>
      <c r="E21" s="6" t="n">
        <v>12.497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12.258</v>
      </c>
      <c r="E22" s="6" t="n">
        <v>12.241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11.996</v>
      </c>
      <c r="E23" s="7" t="n">
        <v>11.973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11.7</v>
      </c>
      <c r="E24" s="7" t="n">
        <v>11.667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103.269</v>
      </c>
      <c r="E25" s="5" t="n">
        <v>102.597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7" t="n">
        <v>1.205</v>
      </c>
      <c r="E26" s="7" t="n">
        <v>1.174</v>
      </c>
      <c r="F26" s="7" t="inlineStr">
        <is>
          <t>-</t>
        </is>
      </c>
    </row>
    <row r="27">
      <c r="B27" s="29" t="n"/>
      <c r="C27" s="3" t="inlineStr">
        <is>
          <t>충전 용량</t>
        </is>
      </c>
      <c r="D27" s="7" t="n">
        <v>139.905</v>
      </c>
      <c r="E27" s="7" t="n">
        <v>138.852</v>
      </c>
      <c r="F27" s="7" t="inlineStr">
        <is>
          <t>-</t>
        </is>
      </c>
    </row>
    <row r="28">
      <c r="B28" s="30" t="n"/>
      <c r="C28" s="3" t="inlineStr">
        <is>
          <t>안정화 전압(24h)</t>
        </is>
      </c>
      <c r="D28" s="7" t="n">
        <v>13.492</v>
      </c>
      <c r="E28" s="7" t="n">
        <v>13.486</v>
      </c>
      <c r="F28" s="7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H13" sqref="H13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3000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68Ah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17168</v>
      </c>
      <c r="E6" s="3" t="n">
        <v>17175</v>
      </c>
      <c r="F6" s="3" t="n">
        <v>17117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12.92</v>
      </c>
      <c r="E7" s="3" t="n">
        <v>12.92</v>
      </c>
      <c r="F7" s="3" t="n">
        <v>12.91</v>
      </c>
    </row>
    <row r="8" ht="17.25" customHeight="1" s="25">
      <c r="B8" s="14" t="inlineStr">
        <is>
          <t>내부저항</t>
        </is>
      </c>
      <c r="C8" s="27" t="n"/>
      <c r="D8" s="3" t="n">
        <v>4.88</v>
      </c>
      <c r="E8" s="3" t="n">
        <v>4.94</v>
      </c>
      <c r="F8" s="3" t="n">
        <v>4.88</v>
      </c>
    </row>
    <row r="9" ht="17.25" customHeight="1" s="25">
      <c r="B9" s="14" t="inlineStr">
        <is>
          <t>MCCA</t>
        </is>
      </c>
      <c r="C9" s="27" t="n"/>
      <c r="D9" s="3" t="n">
        <v>630</v>
      </c>
      <c r="E9" s="3" t="n">
        <v>619</v>
      </c>
      <c r="F9" s="3" t="n">
        <v>627</v>
      </c>
    </row>
    <row r="10" ht="17.25" customHeight="1" s="25">
      <c r="B10" s="14" t="inlineStr">
        <is>
          <t>PC 번호</t>
        </is>
      </c>
      <c r="C10" s="27" t="n"/>
      <c r="D10" s="11" t="inlineStr">
        <is>
          <t>2-20</t>
        </is>
      </c>
      <c r="E10" s="11" t="inlineStr">
        <is>
          <t>2-13</t>
        </is>
      </c>
      <c r="F10" s="11" t="inlineStr">
        <is>
          <t>2-8</t>
        </is>
      </c>
    </row>
    <row r="11">
      <c r="B11" s="14" t="inlineStr">
        <is>
          <t>시험 시작일</t>
        </is>
      </c>
      <c r="C11" s="27" t="n"/>
      <c r="D11" s="28" t="n">
        <v>45968</v>
      </c>
      <c r="E11" s="28" t="n">
        <v>45968</v>
      </c>
      <c r="F11" s="28" t="n">
        <v>45968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0.895</v>
      </c>
      <c r="E14" s="6" t="n">
        <v>0.969</v>
      </c>
      <c r="F14" s="6" t="n">
        <v>0.918</v>
      </c>
    </row>
    <row r="15">
      <c r="B15" s="29" t="n"/>
      <c r="C15" s="3" t="inlineStr">
        <is>
          <t>충전 용량</t>
        </is>
      </c>
      <c r="D15" s="6" t="n">
        <v>28.366</v>
      </c>
      <c r="E15" s="6" t="n">
        <v>29.998</v>
      </c>
      <c r="F15" s="6" t="n">
        <v>28.775</v>
      </c>
    </row>
    <row r="16">
      <c r="B16" s="30" t="n"/>
      <c r="C16" s="3" t="inlineStr">
        <is>
          <t>안정화 전압(72h)</t>
        </is>
      </c>
      <c r="D16" s="6" t="n">
        <v>12.942</v>
      </c>
      <c r="E16" s="6" t="n">
        <v>12.951</v>
      </c>
      <c r="F16" s="6" t="n">
        <v>12.934</v>
      </c>
    </row>
    <row r="17">
      <c r="B17" s="16" t="inlineStr">
        <is>
          <t>C20</t>
        </is>
      </c>
      <c r="C17" s="4" t="n">
        <v>1</v>
      </c>
      <c r="D17" s="6" t="n">
        <v>12.942</v>
      </c>
      <c r="E17" s="6" t="n">
        <v>12.951</v>
      </c>
      <c r="F17" s="7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12.903</v>
      </c>
      <c r="E18" s="6" t="n">
        <v>12.913</v>
      </c>
      <c r="F18" s="7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12.805</v>
      </c>
      <c r="E19" s="7" t="n">
        <v>12.818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12.706</v>
      </c>
      <c r="E20" s="6" t="n">
        <v>12.722</v>
      </c>
      <c r="F20" s="7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12.606</v>
      </c>
      <c r="E21" s="6" t="n">
        <v>12.624</v>
      </c>
      <c r="F21" s="7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12.406</v>
      </c>
      <c r="E22" s="6" t="n">
        <v>12.429</v>
      </c>
      <c r="F22" s="7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12.203</v>
      </c>
      <c r="E23" s="7" t="n">
        <v>12.231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11.993</v>
      </c>
      <c r="E24" s="7" t="n">
        <v>12.027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69.595</v>
      </c>
      <c r="E25" s="5" t="n">
        <v>69.505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>
        <v>0.788</v>
      </c>
      <c r="E26" s="6" t="n">
        <v>0.844</v>
      </c>
      <c r="F26" s="6" t="inlineStr">
        <is>
          <t>-</t>
        </is>
      </c>
    </row>
    <row r="27">
      <c r="B27" s="29" t="n"/>
      <c r="C27" s="3" t="inlineStr">
        <is>
          <t>충전 용량</t>
        </is>
      </c>
      <c r="D27" s="6" t="n">
        <v>93.33199999999999</v>
      </c>
      <c r="E27" s="6" t="n">
        <v>93.25700000000001</v>
      </c>
      <c r="F27" s="6" t="inlineStr">
        <is>
          <t>-</t>
        </is>
      </c>
    </row>
    <row r="28">
      <c r="B28" s="30" t="n"/>
      <c r="C28" s="3" t="inlineStr">
        <is>
          <t>안정화 전압(24h)</t>
        </is>
      </c>
      <c r="D28" s="6" t="n">
        <v>13.344</v>
      </c>
      <c r="E28" s="6" t="n">
        <v>13.366</v>
      </c>
      <c r="F28" s="6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8"/>
  <sheetViews>
    <sheetView tabSelected="1" workbookViewId="0">
      <selection activeCell="K13" sqref="K13"/>
    </sheetView>
  </sheetViews>
  <sheetFormatPr baseColWidth="8" defaultRowHeight="15.75"/>
  <cols>
    <col width="9" customWidth="1" style="1" min="1" max="2"/>
    <col width="20.5" bestFit="1" customWidth="1" style="1" min="3" max="3"/>
    <col width="15.25" customWidth="1" style="1" min="4" max="6"/>
    <col width="9" customWidth="1" style="1" min="7" max="16384"/>
  </cols>
  <sheetData>
    <row r="2" ht="12" customHeight="1" s="25">
      <c r="B2" s="15" t="inlineStr">
        <is>
          <t>구분</t>
        </is>
      </c>
      <c r="C2" s="18" t="n"/>
      <c r="D2" s="15" t="inlineStr">
        <is>
          <t>GB L6</t>
        </is>
      </c>
      <c r="E2" s="19" t="n"/>
      <c r="F2" s="18" t="n"/>
    </row>
    <row r="3" ht="11.25" customHeight="1" s="25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110Ah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24787</v>
      </c>
      <c r="E6" s="3" t="n">
        <v>24795</v>
      </c>
      <c r="F6" s="3" t="n">
        <v>24806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12.91</v>
      </c>
      <c r="E7" s="3" t="n">
        <v>12.9</v>
      </c>
      <c r="F7" s="3" t="n">
        <v>12.9</v>
      </c>
    </row>
    <row r="8" ht="17.25" customHeight="1" s="25">
      <c r="B8" s="14" t="inlineStr">
        <is>
          <t>내부저항</t>
        </is>
      </c>
      <c r="C8" s="27" t="n"/>
      <c r="D8" s="3" t="n">
        <v>3.14</v>
      </c>
      <c r="E8" s="3" t="n">
        <v>3.16</v>
      </c>
      <c r="F8" s="3" t="n">
        <v>3.1</v>
      </c>
    </row>
    <row r="9" ht="17.25" customHeight="1" s="25">
      <c r="B9" s="14" t="inlineStr">
        <is>
          <t>MCCA</t>
        </is>
      </c>
      <c r="C9" s="27" t="n"/>
      <c r="D9" s="3" t="n">
        <v>1008</v>
      </c>
      <c r="E9" s="3" t="n">
        <v>1003</v>
      </c>
      <c r="F9" s="3" t="n">
        <v>1005</v>
      </c>
    </row>
    <row r="10" ht="17.25" customHeight="1" s="25">
      <c r="B10" s="14" t="inlineStr">
        <is>
          <t>PC 번호</t>
        </is>
      </c>
      <c r="C10" s="27" t="n"/>
      <c r="D10" s="31" t="inlineStr">
        <is>
          <t>4-20</t>
        </is>
      </c>
      <c r="E10" s="11" t="inlineStr">
        <is>
          <t>3-24</t>
        </is>
      </c>
      <c r="F10" s="11" t="inlineStr">
        <is>
          <t>1-16</t>
        </is>
      </c>
    </row>
    <row r="11">
      <c r="B11" s="14" t="inlineStr">
        <is>
          <t>시험 시작일</t>
        </is>
      </c>
      <c r="C11" s="27" t="n"/>
      <c r="D11" s="28" t="n">
        <v>45981</v>
      </c>
      <c r="E11" s="28" t="n">
        <v>45981</v>
      </c>
      <c r="F11" s="28" t="n">
        <v>45981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54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비중평가</t>
        </is>
      </c>
      <c r="F13" s="2" t="inlineStr">
        <is>
          <t>만충전
C20
만충전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1.07</v>
      </c>
      <c r="E14" s="6" t="n">
        <v>1.016</v>
      </c>
      <c r="F14" s="6" t="n">
        <v>0.99</v>
      </c>
    </row>
    <row r="15">
      <c r="B15" s="29" t="n"/>
      <c r="C15" s="3" t="inlineStr">
        <is>
          <t>충전 용량</t>
        </is>
      </c>
      <c r="D15" s="32" t="n">
        <v>32.894</v>
      </c>
      <c r="E15" s="32" t="n">
        <v>30.903</v>
      </c>
      <c r="F15" s="32" t="n">
        <v>30.42</v>
      </c>
    </row>
    <row r="16">
      <c r="B16" s="30" t="n"/>
      <c r="C16" s="3" t="inlineStr">
        <is>
          <t>안정화 전압(72h)</t>
        </is>
      </c>
      <c r="D16" s="32" t="n">
        <v>12.883</v>
      </c>
      <c r="E16" s="32" t="n">
        <v>12.876</v>
      </c>
      <c r="F16" s="32" t="n">
        <v>12.871</v>
      </c>
    </row>
    <row r="17">
      <c r="B17" s="16" t="inlineStr">
        <is>
          <t>C20</t>
        </is>
      </c>
      <c r="C17" s="4" t="n">
        <v>1</v>
      </c>
      <c r="D17" s="32" t="n">
        <v>12.883</v>
      </c>
      <c r="E17" s="32" t="n">
        <v>12.876</v>
      </c>
      <c r="F17" s="33" t="n">
        <v>12.871</v>
      </c>
      <c r="G17" s="13">
        <f>AVERAGE(D17:E17)</f>
        <v/>
      </c>
    </row>
    <row r="18">
      <c r="B18" s="29" t="n"/>
      <c r="C18" s="4" t="n">
        <v>0.9</v>
      </c>
      <c r="D18" s="32" t="n">
        <v>12.827</v>
      </c>
      <c r="E18" s="6" t="inlineStr">
        <is>
          <t>-</t>
        </is>
      </c>
      <c r="F18" s="33" t="n">
        <v>12.815</v>
      </c>
      <c r="G18" s="13">
        <f>AVERAGE(D18:E18)</f>
        <v/>
      </c>
    </row>
    <row r="19">
      <c r="B19" s="29" t="n"/>
      <c r="C19" s="4" t="n">
        <v>0.8</v>
      </c>
      <c r="D19" s="33" t="n">
        <v>12.708</v>
      </c>
      <c r="E19" s="7" t="inlineStr">
        <is>
          <t>-</t>
        </is>
      </c>
      <c r="F19" s="33" t="n">
        <v>12.696</v>
      </c>
      <c r="G19" s="13">
        <f>AVERAGE(D19:E19)</f>
        <v/>
      </c>
    </row>
    <row r="20">
      <c r="B20" s="29" t="n"/>
      <c r="C20" s="4" t="n">
        <v>0.7</v>
      </c>
      <c r="D20" s="32" t="n">
        <v>12.59</v>
      </c>
      <c r="E20" s="6" t="inlineStr">
        <is>
          <t>-</t>
        </is>
      </c>
      <c r="F20" s="33" t="n">
        <v>12.578</v>
      </c>
      <c r="G20" s="13">
        <f>AVERAGE(D20:E20)</f>
        <v/>
      </c>
    </row>
    <row r="21">
      <c r="B21" s="29" t="n"/>
      <c r="C21" s="4" t="n">
        <v>0.6</v>
      </c>
      <c r="D21" s="32" t="n">
        <v>12.469</v>
      </c>
      <c r="E21" s="6" t="inlineStr">
        <is>
          <t>-</t>
        </is>
      </c>
      <c r="F21" s="33" t="n">
        <v>12.459</v>
      </c>
      <c r="G21" s="13">
        <f>AVERAGE(D21:E21)</f>
        <v/>
      </c>
    </row>
    <row r="22">
      <c r="B22" s="29" t="n"/>
      <c r="C22" s="4" t="n">
        <v>0.4</v>
      </c>
      <c r="D22" s="33" t="n">
        <v>12.228</v>
      </c>
      <c r="E22" s="6" t="inlineStr">
        <is>
          <t>-</t>
        </is>
      </c>
      <c r="F22" s="33" t="n">
        <v>12.22</v>
      </c>
      <c r="G22" s="13">
        <f>AVERAGE(D22:E22)</f>
        <v/>
      </c>
    </row>
    <row r="23">
      <c r="B23" s="29" t="n"/>
      <c r="C23" s="4" t="n">
        <v>0.2</v>
      </c>
      <c r="D23" s="33" t="n">
        <v>11.977</v>
      </c>
      <c r="E23" s="7" t="inlineStr">
        <is>
          <t>-</t>
        </is>
      </c>
      <c r="F23" s="33" t="n">
        <v>11.968</v>
      </c>
      <c r="G23" s="13">
        <f>AVERAGE(D23:E23)</f>
        <v/>
      </c>
    </row>
    <row r="24">
      <c r="B24" s="29" t="n"/>
      <c r="C24" s="4" t="n">
        <v>0</v>
      </c>
      <c r="D24" s="33" t="n">
        <v>10.5</v>
      </c>
      <c r="E24" s="7" t="inlineStr">
        <is>
          <t>-</t>
        </is>
      </c>
      <c r="F24" s="33" t="n">
        <v>10.5</v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34" t="n">
        <v>100.675</v>
      </c>
      <c r="E25" s="34" t="n">
        <v>0</v>
      </c>
      <c r="F25" s="34" t="n">
        <v>101.852</v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>
        <v>1.038</v>
      </c>
      <c r="E26" s="6" t="inlineStr">
        <is>
          <t>-</t>
        </is>
      </c>
      <c r="F26" s="6" t="n">
        <v>0.964</v>
      </c>
    </row>
    <row r="27">
      <c r="B27" s="29" t="n"/>
      <c r="C27" s="3" t="inlineStr">
        <is>
          <t>충전 용량</t>
        </is>
      </c>
      <c r="D27" s="32" t="n">
        <v>134.399</v>
      </c>
      <c r="E27" s="6" t="inlineStr">
        <is>
          <t>-</t>
        </is>
      </c>
      <c r="F27" s="32" t="n">
        <v>132.662</v>
      </c>
    </row>
    <row r="28">
      <c r="B28" s="30" t="n"/>
      <c r="C28" s="3" t="inlineStr">
        <is>
          <t>안정화 전압(24h)</t>
        </is>
      </c>
      <c r="D28" s="32" t="n">
        <v>13.295</v>
      </c>
      <c r="E28" s="6" t="inlineStr">
        <is>
          <t>-</t>
        </is>
      </c>
      <c r="F28" s="32" t="n">
        <v>13.328</v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L26" sqref="L26"/>
    </sheetView>
  </sheetViews>
  <sheetFormatPr baseColWidth="8" defaultRowHeight="15.75"/>
  <cols>
    <col width="9" customWidth="1" style="1" min="1" max="2"/>
    <col width="20.5" bestFit="1" customWidth="1" style="1" min="3" max="3"/>
    <col width="11.875" bestFit="1" customWidth="1" style="1" min="4" max="6"/>
    <col width="9" customWidth="1" style="1" min="7" max="16384"/>
  </cols>
  <sheetData>
    <row r="2">
      <c r="B2" s="15" t="inlineStr">
        <is>
          <t>구분</t>
        </is>
      </c>
      <c r="C2" s="18" t="n"/>
      <c r="D2" s="15" t="inlineStr">
        <is>
          <t>GB 45</t>
        </is>
      </c>
      <c r="E2" s="19" t="n"/>
      <c r="F2" s="18" t="n"/>
    </row>
    <row r="3">
      <c r="B3" s="20" t="n"/>
      <c r="C3" s="21" t="n"/>
      <c r="D3" s="22" t="n"/>
      <c r="E3" s="23" t="n"/>
      <c r="F3" s="24" t="n"/>
    </row>
    <row r="4" ht="17.25" customHeight="1" s="25">
      <c r="B4" s="22" t="n"/>
      <c r="C4" s="24" t="n"/>
      <c r="D4" s="15" t="inlineStr">
        <is>
          <t>C20 : 45Ah</t>
        </is>
      </c>
      <c r="E4" s="26" t="n"/>
      <c r="F4" s="27" t="n"/>
    </row>
    <row r="5" ht="17.25" customHeight="1" s="25">
      <c r="B5" s="14" t="inlineStr">
        <is>
          <t>샘플 번호</t>
        </is>
      </c>
      <c r="C5" s="27" t="n"/>
      <c r="D5" s="2" t="inlineStr">
        <is>
          <t>#1</t>
        </is>
      </c>
      <c r="E5" s="2" t="inlineStr">
        <is>
          <t>#2</t>
        </is>
      </c>
      <c r="F5" s="2" t="inlineStr">
        <is>
          <t>#3</t>
        </is>
      </c>
    </row>
    <row r="6" ht="17.25" customHeight="1" s="25">
      <c r="B6" s="14" t="inlineStr">
        <is>
          <t>중량(g)</t>
        </is>
      </c>
      <c r="C6" s="27" t="n"/>
      <c r="D6" s="3" t="n">
        <v>12563</v>
      </c>
      <c r="E6" s="3" t="n">
        <v>12593</v>
      </c>
      <c r="F6" s="3" t="n">
        <v>12610</v>
      </c>
      <c r="G6" s="1">
        <f>AVERAGE(D6:F6)</f>
        <v/>
      </c>
    </row>
    <row r="7" ht="17.25" customHeight="1" s="25">
      <c r="B7" s="14" t="inlineStr">
        <is>
          <t>전압(V)</t>
        </is>
      </c>
      <c r="C7" s="27" t="n"/>
      <c r="D7" s="3" t="n">
        <v>12.84</v>
      </c>
      <c r="E7" s="3" t="n">
        <v>12.84</v>
      </c>
      <c r="F7" s="3" t="n">
        <v>12.83</v>
      </c>
    </row>
    <row r="8" ht="17.25" customHeight="1" s="25">
      <c r="B8" s="14" t="inlineStr">
        <is>
          <t>내부저항</t>
        </is>
      </c>
      <c r="C8" s="27" t="n"/>
      <c r="D8" s="3" t="n">
        <v>6.72</v>
      </c>
      <c r="E8" s="3" t="n">
        <v>6.79</v>
      </c>
      <c r="F8" s="3" t="n">
        <v>6.69</v>
      </c>
    </row>
    <row r="9" ht="17.25" customHeight="1" s="25">
      <c r="B9" s="14" t="inlineStr">
        <is>
          <t>MCCA</t>
        </is>
      </c>
      <c r="C9" s="27" t="n"/>
      <c r="D9" s="3" t="n">
        <v>443</v>
      </c>
      <c r="E9" s="3" t="n">
        <v>436</v>
      </c>
      <c r="F9" s="3" t="n">
        <v>447</v>
      </c>
    </row>
    <row r="10" ht="17.25" customHeight="1" s="25">
      <c r="B10" s="14" t="inlineStr">
        <is>
          <t>PC 번호</t>
        </is>
      </c>
      <c r="C10" s="27" t="n"/>
      <c r="D10" s="31" t="inlineStr">
        <is>
          <t>3-29</t>
        </is>
      </c>
      <c r="E10" s="11" t="inlineStr">
        <is>
          <t>3-26</t>
        </is>
      </c>
      <c r="F10" s="11" t="inlineStr">
        <is>
          <t>3-24</t>
        </is>
      </c>
    </row>
    <row r="11">
      <c r="B11" s="14" t="inlineStr">
        <is>
          <t>시험 시작일</t>
        </is>
      </c>
      <c r="C11" s="27" t="n"/>
      <c r="D11" s="28" t="n">
        <v>45993</v>
      </c>
      <c r="E11" s="28" t="n">
        <v>45993</v>
      </c>
      <c r="F11" s="28" t="n">
        <v>45993</v>
      </c>
    </row>
    <row r="12">
      <c r="B12" s="14" t="inlineStr">
        <is>
          <t>이름</t>
        </is>
      </c>
      <c r="C12" s="27" t="n"/>
      <c r="D12" s="2" t="n"/>
      <c r="E12" s="2" t="n"/>
      <c r="F12" s="2" t="n"/>
    </row>
    <row r="13" ht="47.25" customHeight="1" s="25">
      <c r="B13" s="17" t="inlineStr">
        <is>
          <t>시험 순서</t>
        </is>
      </c>
      <c r="C13" s="27" t="n"/>
      <c r="D13" s="2" t="inlineStr">
        <is>
          <t>만충전
C20
만충전</t>
        </is>
      </c>
      <c r="E13" s="2" t="inlineStr">
        <is>
          <t>만충전
C20
만충전</t>
        </is>
      </c>
      <c r="F13" s="2" t="inlineStr">
        <is>
          <t>만충전
비중평가</t>
        </is>
      </c>
    </row>
    <row r="14">
      <c r="B14" s="16" t="inlineStr">
        <is>
          <t>만충전
(24h)</t>
        </is>
      </c>
      <c r="C14" s="3" t="inlineStr">
        <is>
          <t>충전 전류</t>
        </is>
      </c>
      <c r="D14" s="6" t="n">
        <v>0.697</v>
      </c>
      <c r="E14" s="6" t="n">
        <v>0.706</v>
      </c>
      <c r="F14" s="6" t="n">
        <v>0.699</v>
      </c>
    </row>
    <row r="15">
      <c r="B15" s="29" t="n"/>
      <c r="C15" s="3" t="inlineStr">
        <is>
          <t>충전 용량</t>
        </is>
      </c>
      <c r="D15" s="6" t="n">
        <v>20.92</v>
      </c>
      <c r="E15" s="6" t="n">
        <v>21.532</v>
      </c>
      <c r="F15" s="6" t="n">
        <v>21.487</v>
      </c>
    </row>
    <row r="16">
      <c r="B16" s="30" t="n"/>
      <c r="C16" s="3" t="inlineStr">
        <is>
          <t>안정화 전압(72h)</t>
        </is>
      </c>
      <c r="D16" s="6" t="n">
        <v>12.842</v>
      </c>
      <c r="E16" s="6" t="n">
        <v>12.848</v>
      </c>
      <c r="F16" s="6" t="n">
        <v>12.844</v>
      </c>
    </row>
    <row r="17">
      <c r="B17" s="16" t="inlineStr">
        <is>
          <t>C20</t>
        </is>
      </c>
      <c r="C17" s="4" t="n">
        <v>1</v>
      </c>
      <c r="D17" s="6" t="n">
        <v>12.842</v>
      </c>
      <c r="E17" s="6" t="n">
        <v>12.848</v>
      </c>
      <c r="F17" s="6" t="inlineStr">
        <is>
          <t>-</t>
        </is>
      </c>
      <c r="G17" s="13">
        <f>AVERAGE(D17:E17)</f>
        <v/>
      </c>
    </row>
    <row r="18">
      <c r="B18" s="29" t="n"/>
      <c r="C18" s="4" t="n">
        <v>0.9</v>
      </c>
      <c r="D18" s="6" t="n">
        <v>12.814</v>
      </c>
      <c r="E18" s="6" t="n">
        <v>12.818</v>
      </c>
      <c r="F18" s="6" t="inlineStr">
        <is>
          <t>-</t>
        </is>
      </c>
      <c r="G18" s="13">
        <f>AVERAGE(D18:E18)</f>
        <v/>
      </c>
    </row>
    <row r="19">
      <c r="B19" s="29" t="n"/>
      <c r="C19" s="4" t="n">
        <v>0.8</v>
      </c>
      <c r="D19" s="7" t="n">
        <v>12.726</v>
      </c>
      <c r="E19" s="7" t="n">
        <v>12.731</v>
      </c>
      <c r="F19" s="7" t="inlineStr">
        <is>
          <t>-</t>
        </is>
      </c>
      <c r="G19" s="13">
        <f>AVERAGE(D19:E19)</f>
        <v/>
      </c>
    </row>
    <row r="20">
      <c r="B20" s="29" t="n"/>
      <c r="C20" s="4" t="n">
        <v>0.7</v>
      </c>
      <c r="D20" s="6" t="n">
        <v>12.636</v>
      </c>
      <c r="E20" s="6" t="n">
        <v>12.641</v>
      </c>
      <c r="F20" s="6" t="inlineStr">
        <is>
          <t>-</t>
        </is>
      </c>
      <c r="G20" s="13">
        <f>AVERAGE(D20:E20)</f>
        <v/>
      </c>
    </row>
    <row r="21">
      <c r="B21" s="29" t="n"/>
      <c r="C21" s="4" t="n">
        <v>0.6</v>
      </c>
      <c r="D21" s="6" t="n">
        <v>12.544</v>
      </c>
      <c r="E21" s="6" t="n">
        <v>12.551</v>
      </c>
      <c r="F21" s="6" t="inlineStr">
        <is>
          <t>-</t>
        </is>
      </c>
      <c r="G21" s="13">
        <f>AVERAGE(D21:E21)</f>
        <v/>
      </c>
    </row>
    <row r="22">
      <c r="B22" s="29" t="n"/>
      <c r="C22" s="4" t="n">
        <v>0.4</v>
      </c>
      <c r="D22" s="7" t="n">
        <v>12.362</v>
      </c>
      <c r="E22" s="6" t="n">
        <v>12.366</v>
      </c>
      <c r="F22" s="6" t="inlineStr">
        <is>
          <t>-</t>
        </is>
      </c>
      <c r="G22" s="13">
        <f>AVERAGE(D22:E22)</f>
        <v/>
      </c>
    </row>
    <row r="23">
      <c r="B23" s="29" t="n"/>
      <c r="C23" s="4" t="n">
        <v>0.2</v>
      </c>
      <c r="D23" s="7" t="n">
        <v>12.174</v>
      </c>
      <c r="E23" s="7" t="n">
        <v>12.181</v>
      </c>
      <c r="F23" s="7" t="inlineStr">
        <is>
          <t>-</t>
        </is>
      </c>
      <c r="G23" s="13">
        <f>AVERAGE(D23:E23)</f>
        <v/>
      </c>
    </row>
    <row r="24">
      <c r="B24" s="29" t="n"/>
      <c r="C24" s="4" t="n">
        <v>0</v>
      </c>
      <c r="D24" s="7" t="n">
        <v>11.98</v>
      </c>
      <c r="E24" s="7" t="n">
        <v>11.986</v>
      </c>
      <c r="F24" s="7" t="inlineStr">
        <is>
          <t>-</t>
        </is>
      </c>
      <c r="G24" s="13">
        <f>AVERAGE(D24:E24)</f>
        <v/>
      </c>
    </row>
    <row r="25">
      <c r="B25" s="30" t="n"/>
      <c r="C25" s="5" t="inlineStr">
        <is>
          <t>총 방전용량</t>
        </is>
      </c>
      <c r="D25" s="5" t="n">
        <v>48.724</v>
      </c>
      <c r="E25" s="5" t="n">
        <v>48.054</v>
      </c>
      <c r="F25" s="5" t="inlineStr">
        <is>
          <t>-</t>
        </is>
      </c>
      <c r="G25" s="13">
        <f>AVERAGE(D25:E25)</f>
        <v/>
      </c>
    </row>
    <row r="26">
      <c r="B26" s="16" t="inlineStr">
        <is>
          <t>만충전
(24h)</t>
        </is>
      </c>
      <c r="C26" s="3" t="inlineStr">
        <is>
          <t>충전 전류</t>
        </is>
      </c>
      <c r="D26" s="6" t="n"/>
      <c r="E26" s="6" t="n"/>
      <c r="F26" s="6" t="inlineStr">
        <is>
          <t>-</t>
        </is>
      </c>
    </row>
    <row r="27">
      <c r="B27" s="29" t="n"/>
      <c r="C27" s="3" t="inlineStr">
        <is>
          <t>충전 용량</t>
        </is>
      </c>
      <c r="D27" s="6" t="n"/>
      <c r="E27" s="6" t="n"/>
      <c r="F27" s="6" t="inlineStr">
        <is>
          <t>-</t>
        </is>
      </c>
    </row>
    <row r="28">
      <c r="B28" s="30" t="n"/>
      <c r="C28" s="3" t="inlineStr">
        <is>
          <t>안정화 전압(24h)</t>
        </is>
      </c>
      <c r="D28" s="6" t="n"/>
      <c r="E28" s="6" t="n"/>
      <c r="F28" s="6" t="inlineStr">
        <is>
          <t>-</t>
        </is>
      </c>
    </row>
  </sheetData>
  <mergeCells count="15">
    <mergeCell ref="B13:C13"/>
    <mergeCell ref="B6:C6"/>
    <mergeCell ref="D2:F3"/>
    <mergeCell ref="B17:B25"/>
    <mergeCell ref="B7:C7"/>
    <mergeCell ref="B11:C11"/>
    <mergeCell ref="B2:C4"/>
    <mergeCell ref="B26:B28"/>
    <mergeCell ref="B5:C5"/>
    <mergeCell ref="D4:F4"/>
    <mergeCell ref="B10:C10"/>
    <mergeCell ref="B14:B16"/>
    <mergeCell ref="B9:C9"/>
    <mergeCell ref="B8:C8"/>
    <mergeCell ref="B12:C12"/>
  </mergeCells>
  <pageMargins left="0.7" right="0.7" top="0.75" bottom="0.75" header="0.3" footer="0.3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2025-12-05T06:06:27Z</dcterms:created>
  <dcterms:modified xsi:type="dcterms:W3CDTF">2026-07-21T11:13:31Z</dcterms:modified>
  <cp:lastModifiedBy>고정의/파트장/세방전지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DRClass" fmtid="{D5CDD505-2E9C-101B-9397-08002B2CF9AE}" pid="2">
    <vt:lpwstr>0</vt:lpwstr>
  </property>
  <property name="FDRSet" fmtid="{D5CDD505-2E9C-101B-9397-08002B2CF9AE}" pid="3">
    <vt:lpwstr>manual</vt:lpwstr>
  </property>
</Properties>
</file>